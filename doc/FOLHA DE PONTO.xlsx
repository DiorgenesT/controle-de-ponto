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SSICA 2 ABRIL" sheetId="1" r:id="rId5"/>
    <sheet state="visible" name=" MARCOS 13 ABRIL " sheetId="2" r:id="rId6"/>
    <sheet state="visible" name="  VINICIUS 5 ABRIL" sheetId="3" r:id="rId7"/>
    <sheet state="visible" name="JESSICA 2 MARÇO" sheetId="4" r:id="rId8"/>
    <sheet state="visible" name=" MARCOS 13 MARÇO" sheetId="5" r:id="rId9"/>
    <sheet state="visible" name=" VINICIUS 5 MARÇO" sheetId="6" r:id="rId10"/>
    <sheet state="visible" name="ARTHUR 16 MARÇO " sheetId="7" r:id="rId11"/>
    <sheet state="visible" name="JESSICA 2 FEVEREIRO" sheetId="8" r:id="rId12"/>
    <sheet state="visible" name=" ARTHUR 16 FEVEREIRO" sheetId="9" r:id="rId13"/>
    <sheet state="visible" name="MARCOS 13 FEVEREIRO" sheetId="10" r:id="rId14"/>
    <sheet state="visible" name=" VINICIUS 5 FEVEREIRO " sheetId="11" r:id="rId15"/>
    <sheet state="visible" name=" VINICIUS 5 JANEIRO " sheetId="12" r:id="rId16"/>
    <sheet state="visible" name="JESSICA 2 JANEIRO" sheetId="13" r:id="rId17"/>
    <sheet state="visible" name=" MARCOS 13 JANEIRO " sheetId="14" r:id="rId18"/>
    <sheet state="visible" name="ARTHUR 16 JANEIRO " sheetId="15" r:id="rId19"/>
    <sheet state="visible" name="ARTHUR 16 DEZEMBRO " sheetId="16" r:id="rId20"/>
    <sheet state="visible" name="VINICIUS 5 DEZEMBRO  " sheetId="17" r:id="rId21"/>
    <sheet state="visible" name="MARCOS 13 DEZEMBRO " sheetId="18" r:id="rId22"/>
    <sheet state="visible" name="JESSICA 2 DEZEMBRO " sheetId="19" r:id="rId23"/>
    <sheet state="visible" name="  MARCOS 13 NOVEMBRO " sheetId="20" r:id="rId24"/>
    <sheet state="visible" name="  ARTHUR 16 NOVEMBRO" sheetId="21" r:id="rId25"/>
    <sheet state="visible" name="  VINICIUS 5 NOVEMBRO  " sheetId="22" r:id="rId26"/>
    <sheet state="visible" name=" JESSICA 2 NOVEMBRO " sheetId="23" r:id="rId27"/>
    <sheet state="visible" name="JESSICA 2 OUTUBRO" sheetId="24" r:id="rId28"/>
    <sheet state="visible" name=" MARCOS 13 OUTUBRO" sheetId="25" r:id="rId29"/>
    <sheet state="visible" name=" ARTHUR 16 OUTUBRO" sheetId="26" r:id="rId30"/>
    <sheet state="visible" name=" VINICIUS 5 OUTUBRO " sheetId="27" r:id="rId31"/>
    <sheet state="visible" name="JESSICA 2 SETEMBRO " sheetId="28" r:id="rId32"/>
    <sheet state="visible" name="MARCOS 13 SETEMBRO" sheetId="29" r:id="rId33"/>
    <sheet state="visible" name="ARTHUR 16 SETEMBRO" sheetId="30" r:id="rId34"/>
    <sheet state="visible" name="VINICIUS 5 SETEMBRO " sheetId="31" r:id="rId35"/>
    <sheet state="visible" name="JESSICA 2 AGOSTO 25" sheetId="32" r:id="rId36"/>
    <sheet state="visible" name="MARCOS 13  AGOSTO  25" sheetId="33" r:id="rId37"/>
    <sheet state="visible" name="ARTHUR  16  AGOSTO 25" sheetId="34" r:id="rId38"/>
    <sheet state="visible" name="VINICIUS 5 AGOSTO " sheetId="35" r:id="rId39"/>
    <sheet state="visible" name=" JESSICA 2 JULHO 25" sheetId="36" r:id="rId40"/>
    <sheet state="visible" name=" MARCOS 13 JULHO  25" sheetId="37" r:id="rId41"/>
    <sheet state="visible" name="ARTHUR  16  JULHO  25" sheetId="38" r:id="rId42"/>
    <sheet state="visible" name="JESSICA 2 JUNHO 25" sheetId="39" r:id="rId43"/>
    <sheet state="visible" name=" MARCOS 13 JUNHO  25" sheetId="40" r:id="rId44"/>
    <sheet state="visible" name=" ARTHUR  16  JUNHO  25" sheetId="41" r:id="rId45"/>
    <sheet state="visible" name="RAISSA 15  JUNHO 25" sheetId="42" r:id="rId46"/>
    <sheet state="visible" name="MARCOS 13 MAIO  25" sheetId="43" r:id="rId47"/>
    <sheet state="visible" name="JESSICA 2 MAIO 25" sheetId="44" r:id="rId48"/>
    <sheet state="visible" name="RAISSA 15  MAIO  25" sheetId="45" r:id="rId49"/>
    <sheet state="visible" name="ARTHUR  16  MAIO  25" sheetId="46" r:id="rId50"/>
    <sheet state="visible" name="ARTHUR  16  ABRIL  25" sheetId="47" r:id="rId51"/>
    <sheet state="visible" name="JESSICA 2  ABRIL  25" sheetId="48" r:id="rId52"/>
    <sheet state="visible" name=" RAISSA 15  ABRIL  25" sheetId="49" r:id="rId53"/>
    <sheet state="visible" name=" MARCOS 13 ABRIL  25" sheetId="50" r:id="rId54"/>
    <sheet state="visible" name="JESSICA 2  FEVEREIRO 25" sheetId="51" r:id="rId55"/>
    <sheet state="visible" name="EMILLY 10 FEVEREIRO 25" sheetId="52" r:id="rId56"/>
    <sheet state="visible" name="MARCOS 13 FEVEREIRO 25" sheetId="53" r:id="rId57"/>
    <sheet state="visible" name="MARCOS 13 MARÇO 25" sheetId="54" r:id="rId58"/>
    <sheet state="visible" name=" JESSICA 2  MARÇO 25" sheetId="55" r:id="rId59"/>
  </sheets>
  <definedNames/>
  <calcPr/>
</workbook>
</file>

<file path=xl/sharedStrings.xml><?xml version="1.0" encoding="utf-8"?>
<sst xmlns="http://schemas.openxmlformats.org/spreadsheetml/2006/main" count="4609" uniqueCount="322">
  <si>
    <t xml:space="preserve">ALEXANDRE MOTOS </t>
  </si>
  <si>
    <t>FOLHA DE PONTO</t>
  </si>
  <si>
    <t>CNPJ: 21.693.712/0001-03</t>
  </si>
  <si>
    <t>AV. COLET. ARTUR TRINDADE</t>
  </si>
  <si>
    <t>1488, JD. ALTEROSA, BETIM</t>
  </si>
  <si>
    <t>Nome:</t>
  </si>
  <si>
    <t>JESSICA NASCIMENTO DOS SANTOS</t>
  </si>
  <si>
    <t>Função:</t>
  </si>
  <si>
    <t>AUXILIAR ADMINISTRATIVO</t>
  </si>
  <si>
    <t>HORÁRIO DE TRABALHO: SEG A SEX 08:30 ÀS 18:00</t>
  </si>
  <si>
    <t>Mês:</t>
  </si>
  <si>
    <t>MARÇO</t>
  </si>
  <si>
    <t>SÁBADO: 08:00 ÀS 12:00</t>
  </si>
  <si>
    <t>DIA</t>
  </si>
  <si>
    <t>ENTRADA</t>
  </si>
  <si>
    <t>SAÍDA</t>
  </si>
  <si>
    <t>ALMOÇO</t>
  </si>
  <si>
    <t>RETORNO</t>
  </si>
  <si>
    <t xml:space="preserve">QUARTA </t>
  </si>
  <si>
    <t>QUINTA</t>
  </si>
  <si>
    <t xml:space="preserve">SEXTA </t>
  </si>
  <si>
    <t xml:space="preserve">SABADO </t>
  </si>
  <si>
    <t xml:space="preserve">FECHADO  </t>
  </si>
  <si>
    <t xml:space="preserve">DOMINGO </t>
  </si>
  <si>
    <t xml:space="preserve">SEGUNDA </t>
  </si>
  <si>
    <t xml:space="preserve">TERÇA </t>
  </si>
  <si>
    <t xml:space="preserve">QUINTA </t>
  </si>
  <si>
    <t xml:space="preserve">ATE AQUI </t>
  </si>
  <si>
    <t xml:space="preserve">SABADO  </t>
  </si>
  <si>
    <t>DOMINGO</t>
  </si>
  <si>
    <t xml:space="preserve">DOMINGO  </t>
  </si>
  <si>
    <t>RESUMO GERAL</t>
  </si>
  <si>
    <t>Horas Extras:  00:50</t>
  </si>
  <si>
    <t>Horas Faltas: -00:22</t>
  </si>
  <si>
    <t xml:space="preserve">Total acumulado:  -09:24 (FEVEREIRO) / -08:56 (MARÇO)   </t>
  </si>
  <si>
    <t>Data: _______ de _______________ de ____________.</t>
  </si>
  <si>
    <t>Assinatura do Empregado:</t>
  </si>
  <si>
    <t>_______________________________________________________________</t>
  </si>
  <si>
    <t>padrao</t>
  </si>
  <si>
    <t>MARCOS VINICIUS SILVA FREITAS</t>
  </si>
  <si>
    <t>tolerancia</t>
  </si>
  <si>
    <t>AJUDANTE DE MECÂNICO</t>
  </si>
  <si>
    <t xml:space="preserve">H TRAB </t>
  </si>
  <si>
    <t>H EXTRA</t>
  </si>
  <si>
    <t>H DEVEDORA</t>
  </si>
  <si>
    <t xml:space="preserve">FECHADO </t>
  </si>
  <si>
    <t>-4HR</t>
  </si>
  <si>
    <t>- 04:30</t>
  </si>
  <si>
    <t>Horas Extras: 07:20</t>
  </si>
  <si>
    <t>Horas Faltas: - 05:51</t>
  </si>
  <si>
    <r>
      <rPr>
        <rFont val="Arial, sans-serif"/>
        <color theme="1"/>
        <sz val="9.0"/>
      </rPr>
      <t xml:space="preserve">Total acumulado: 11:47 (FEVEREIRO) / 13:16 (MARÇO)          </t>
    </r>
    <r>
      <rPr>
        <rFont val="Arial, sans-serif"/>
        <color rgb="FFFF0000"/>
        <sz val="9.0"/>
      </rPr>
      <t xml:space="preserve"> </t>
    </r>
  </si>
  <si>
    <t xml:space="preserve">MARCUS VINICIUS SCHIRMER CAMARGOS </t>
  </si>
  <si>
    <t>BALCONISTA</t>
  </si>
  <si>
    <t>Horas Extras: 02:35</t>
  </si>
  <si>
    <t>Horas Faltas: -01:44</t>
  </si>
  <si>
    <t>Total acumulado:  - 06:50 (FEVEREIRO) / 07:41 (MARÇO)</t>
  </si>
  <si>
    <t>TEM 2 DIAS PARA TIRAR DAS FERIAS COLETIVAS</t>
  </si>
  <si>
    <t>TEM 3 DIAS PARA TIRAR DO BANCO DE HORAS</t>
  </si>
  <si>
    <t>TERÇA</t>
  </si>
  <si>
    <t xml:space="preserve">ATE AQUI  </t>
  </si>
  <si>
    <t xml:space="preserve">FERIAS </t>
  </si>
  <si>
    <r>
      <rPr>
        <rFont val="Arial, sans-serif"/>
        <color theme="1"/>
        <sz val="9.0"/>
      </rPr>
      <t xml:space="preserve">Total acumulado: 11:47 (FEVEREIRO) / 13:16 (MARÇO)          </t>
    </r>
    <r>
      <rPr>
        <rFont val="Arial, sans-serif"/>
        <color rgb="FFFF0000"/>
        <sz val="9.0"/>
      </rPr>
      <t xml:space="preserve"> </t>
    </r>
  </si>
  <si>
    <t xml:space="preserve">ATESTADO </t>
  </si>
  <si>
    <t xml:space="preserve">ATESTADO  </t>
  </si>
  <si>
    <t xml:space="preserve">ARTHUR ALVES DO NASCIMENTO </t>
  </si>
  <si>
    <t>AUXILIAR DE MECANICO</t>
  </si>
  <si>
    <t>HORÁRIO DE TRABALHO: SEG A SEX 08:30 ÀS 17:30</t>
  </si>
  <si>
    <t>ATESTADO</t>
  </si>
  <si>
    <t xml:space="preserve">FALTA </t>
  </si>
  <si>
    <t xml:space="preserve">FALTA  </t>
  </si>
  <si>
    <t>- 0:07</t>
  </si>
  <si>
    <t>OK ATE AQUI</t>
  </si>
  <si>
    <t>Horas Extras: 05:33</t>
  </si>
  <si>
    <t>Horas Faltas: -12:42</t>
  </si>
  <si>
    <t>Total acumulado:   11:42 (FEVEREIRO)/ 4:33 (MARÇO)</t>
  </si>
  <si>
    <t xml:space="preserve">FEVEREIRO </t>
  </si>
  <si>
    <t>ATE  AQUI</t>
  </si>
  <si>
    <t>--00:25</t>
  </si>
  <si>
    <t xml:space="preserve">FERIADO </t>
  </si>
  <si>
    <t xml:space="preserve">BANCO DE HORAS </t>
  </si>
  <si>
    <t xml:space="preserve">-8HS </t>
  </si>
  <si>
    <t>-08:25:00.000</t>
  </si>
  <si>
    <t>ATE AQUI OK</t>
  </si>
  <si>
    <t>Horas Extras:  02:06</t>
  </si>
  <si>
    <r>
      <rPr>
        <rFont val="Arial, sans-serif"/>
        <color theme="1"/>
        <sz val="10.0"/>
      </rPr>
      <t xml:space="preserve">Horas Faltas: -08:25  </t>
    </r>
    <r>
      <rPr>
        <rFont val="Arial, sans-serif"/>
        <color rgb="FFFF0000"/>
        <sz val="10.0"/>
      </rPr>
      <t xml:space="preserve"> </t>
    </r>
  </si>
  <si>
    <t>Total acumulado:  - 03:05 (Janeiro) /-09:24 (Fevereiro)</t>
  </si>
  <si>
    <t>Horas Extras: 09:36</t>
  </si>
  <si>
    <t>Horas Faltas: -08:00</t>
  </si>
  <si>
    <t>Total acumulado:  10:06 (JANEIRO )/ 11:42 (FEVEREIRO)</t>
  </si>
  <si>
    <t>4HRS</t>
  </si>
  <si>
    <t>FERIAS</t>
  </si>
  <si>
    <t>Horas Extras: 06:51</t>
  </si>
  <si>
    <t>Horas Faltas: - 12:00</t>
  </si>
  <si>
    <t xml:space="preserve">Total acumulado:   16:56 (JANEIRO)/  11:47 (FEVEREIRO)               </t>
  </si>
  <si>
    <t>-12MIN</t>
  </si>
  <si>
    <t>ATESTADO 12: AS 13:20</t>
  </si>
  <si>
    <t>Horas Extras: 02:58</t>
  </si>
  <si>
    <t>Horas Faltas: -09:21</t>
  </si>
  <si>
    <t xml:space="preserve">Total acumulado:   0:27 (JANEIRO)  / - 06:50 (FEVEREIRO)     </t>
  </si>
  <si>
    <t xml:space="preserve">JANEIRO </t>
  </si>
  <si>
    <t>FÉRIAS COLETIVAS</t>
  </si>
  <si>
    <t>- 0: 23</t>
  </si>
  <si>
    <t>- 01:48:00</t>
  </si>
  <si>
    <t>-</t>
  </si>
  <si>
    <t>- 02:37</t>
  </si>
  <si>
    <t xml:space="preserve">ATE  AQUI </t>
  </si>
  <si>
    <t>ok</t>
  </si>
  <si>
    <t>BANCO DE HORAS</t>
  </si>
  <si>
    <t>Horas Extras:04:00</t>
  </si>
  <si>
    <t>Horas Faltas: 03:54</t>
  </si>
  <si>
    <t xml:space="preserve">Total acumulado:  24:21 (DEZEMBRO) / 0:27 (JANEIRO)         </t>
  </si>
  <si>
    <t xml:space="preserve">ABONADO </t>
  </si>
  <si>
    <r>
      <rPr>
        <rFont val="Arial, sans-serif"/>
        <color rgb="FF000000"/>
        <sz val="10.0"/>
      </rPr>
      <t xml:space="preserve">Horas Extras:  </t>
    </r>
    <r>
      <rPr>
        <rFont val="Arial, sans-serif"/>
        <color rgb="FF000000"/>
        <sz val="10.0"/>
      </rPr>
      <t>1:58</t>
    </r>
  </si>
  <si>
    <r>
      <rPr>
        <rFont val="Arial, sans-serif"/>
        <color theme="1"/>
        <sz val="10.0"/>
      </rPr>
      <t xml:space="preserve">Horas Faltas: -0:16       </t>
    </r>
    <r>
      <rPr>
        <rFont val="Arial, sans-serif"/>
        <color rgb="FFFF0000"/>
        <sz val="10.0"/>
      </rPr>
      <t xml:space="preserve"> </t>
    </r>
  </si>
  <si>
    <t>Total acumulado:   -04:47 (Dezembro)/ - 03:05 (Janeiro)</t>
  </si>
  <si>
    <t>Horas Extras: 10:58</t>
  </si>
  <si>
    <t>Horas Faltas: - 2:28</t>
  </si>
  <si>
    <t xml:space="preserve">Total acumulado:  8:26 (DEZEMBRO) /16:56 (JANEIRO)                </t>
  </si>
  <si>
    <t>ATE AQUI</t>
  </si>
  <si>
    <r>
      <rPr>
        <rFont val="Arial, sans-serif"/>
        <color rgb="FF000000"/>
        <sz val="9.0"/>
      </rPr>
      <t xml:space="preserve">Horas Extras: </t>
    </r>
    <r>
      <rPr>
        <rFont val="Arial, sans-serif"/>
        <color rgb="FF000000"/>
        <sz val="9.0"/>
      </rPr>
      <t>09:43</t>
    </r>
  </si>
  <si>
    <t>Horas Faltas: -00:50</t>
  </si>
  <si>
    <t>Total acumulado:   1:13 (DEZEMBRO)/ 10:06 (JANEIRO )</t>
  </si>
  <si>
    <t xml:space="preserve">DEZEMBRO </t>
  </si>
  <si>
    <t>ABONADO</t>
  </si>
  <si>
    <t>Horas Extras: 06:44</t>
  </si>
  <si>
    <t>Horas Faltas: -03:47</t>
  </si>
  <si>
    <t>Total acumulado:   - 01:44 (NOVEMBRO)/  1:13 (DEZEMBRO)</t>
  </si>
  <si>
    <t>DEZEMBRO</t>
  </si>
  <si>
    <t>Horas Extras:07:34</t>
  </si>
  <si>
    <t>Horas Faltas: 00:00</t>
  </si>
  <si>
    <t xml:space="preserve">Total acumulado:  16:47 (NOVEMBRO) / 24:21 (DEZEMBRO)           </t>
  </si>
  <si>
    <t>-8HR</t>
  </si>
  <si>
    <t>Horas Extras: 04:29</t>
  </si>
  <si>
    <t>Horas Faltas: - 00:08</t>
  </si>
  <si>
    <t>Total acumulado: 04:05 (NOVEMBRO)/ 8:26 (DEZEMBRO)</t>
  </si>
  <si>
    <t xml:space="preserve">AUXILIAR ADMINISTRATIVO </t>
  </si>
  <si>
    <t xml:space="preserve">FÉRIAS </t>
  </si>
  <si>
    <t>Horas Extras: 00:53</t>
  </si>
  <si>
    <t>Horas Faltas: -6</t>
  </si>
  <si>
    <t xml:space="preserve">Total acumulado:  - 05:34 (Novembro) /  -04:47 (Dezembro) </t>
  </si>
  <si>
    <t xml:space="preserve">NOVEMBRO </t>
  </si>
  <si>
    <t>-5HRS</t>
  </si>
  <si>
    <t>5:19?</t>
  </si>
  <si>
    <t>Horas Extras: 07:08</t>
  </si>
  <si>
    <t>Horas Faltas: - 05:19</t>
  </si>
  <si>
    <t>Total acumulado:  02:16 (OUTUBRO) 04:05 (NOVEMBRO)</t>
  </si>
  <si>
    <t>-37?</t>
  </si>
  <si>
    <t>Horas Extras: 09:57</t>
  </si>
  <si>
    <t>Total acumulado:   - 07:54 (OUTUBRO) - 01:44 (NOVEMBRO)</t>
  </si>
  <si>
    <t>NOVEMBRO</t>
  </si>
  <si>
    <t>FERIADO</t>
  </si>
  <si>
    <t>Horas Extras:06:59</t>
  </si>
  <si>
    <t>Horas Faltas: 00:38</t>
  </si>
  <si>
    <t xml:space="preserve">Total acumulado: 10:26 (OUTUBRO)/ 16:47 (NOVEMBRO)             </t>
  </si>
  <si>
    <t>OK</t>
  </si>
  <si>
    <t>Horas Extras: 01:39</t>
  </si>
  <si>
    <t xml:space="preserve">Horas Faltas: </t>
  </si>
  <si>
    <t xml:space="preserve">Total acumulado:  -07:13 (Outubro) - 05:34 (Novembro) </t>
  </si>
  <si>
    <t>OUTUBRO</t>
  </si>
  <si>
    <t>Horas Extras: 02:00</t>
  </si>
  <si>
    <t>Total acumulado:  -09:13 (Setembro) - 07:13 (Outubro)</t>
  </si>
  <si>
    <t>FALTA</t>
  </si>
  <si>
    <t>-4H</t>
  </si>
  <si>
    <t>-8H</t>
  </si>
  <si>
    <t>-12H</t>
  </si>
  <si>
    <t>Horas Extras: 10:24</t>
  </si>
  <si>
    <t>Horas Faltas: 2 DIAS (DESCONTADOS NO CONTRACHEQUE)</t>
  </si>
  <si>
    <t>Total acumulado:  -08:08 (SETEMBRO)/ 02:16 (OUTUBRO)</t>
  </si>
  <si>
    <t>Horas Extras: 13:55</t>
  </si>
  <si>
    <t>Horas Faltas: -16</t>
  </si>
  <si>
    <t>Total acumulado:  - 21:33 (SETEMBRO)/ - 07:54 (OUTUBRO)</t>
  </si>
  <si>
    <t>Horas Extras:07:11</t>
  </si>
  <si>
    <t>Horas Faltas: -08:39</t>
  </si>
  <si>
    <t xml:space="preserve">Total acumulado: 11:54 (SETEMBRO)/ 10:26(OUTUBRO)              </t>
  </si>
  <si>
    <t xml:space="preserve">AUXILIAR ADMINTRATIVO </t>
  </si>
  <si>
    <t>SETEMBRO</t>
  </si>
  <si>
    <t>ATE AQUI 1:12</t>
  </si>
  <si>
    <t>Horas Extras: 01:36</t>
  </si>
  <si>
    <t>Horas Faltas: -10</t>
  </si>
  <si>
    <t>1:26 saldo</t>
  </si>
  <si>
    <t>Total acumulado:   - 10:39 (Agosto) - 09:13 (Setembro)</t>
  </si>
  <si>
    <t>MARCOS VINICIUS</t>
  </si>
  <si>
    <t>-04:00 HR</t>
  </si>
  <si>
    <t>ate aqui</t>
  </si>
  <si>
    <t>-05 :14</t>
  </si>
  <si>
    <t>9:51 POSIT</t>
  </si>
  <si>
    <t>Horas Extras: 10:30</t>
  </si>
  <si>
    <t>Horas Faltas: -13:49</t>
  </si>
  <si>
    <t>Total acumulado: -4:49 (AGOSTO)/ -08:08 (SETEMBRO)</t>
  </si>
  <si>
    <t>4.49</t>
  </si>
  <si>
    <t xml:space="preserve">ate aqui </t>
  </si>
  <si>
    <t>-08HR</t>
  </si>
  <si>
    <t>Horas Extras: 11:03</t>
  </si>
  <si>
    <t>Horas Faltas: -10:50 HORAS / DESCONTADO 1 DIA NO CONTRACHEQUE</t>
  </si>
  <si>
    <t>Total acumulado:  -29:46 (AGOSTO) / - 21:33 (SETEMBRO)</t>
  </si>
  <si>
    <t>- 10:50:00</t>
  </si>
  <si>
    <t>Horas Extras: 11:57</t>
  </si>
  <si>
    <t>Horas Faltas: -04:15</t>
  </si>
  <si>
    <t>Total acumulado: 04:12 (AGOSTO) / 11:54 (SETEMBRO)</t>
  </si>
  <si>
    <t xml:space="preserve">AGOSTO </t>
  </si>
  <si>
    <t>SABADO</t>
  </si>
  <si>
    <t>SEXTA</t>
  </si>
  <si>
    <t>SEGUNDA</t>
  </si>
  <si>
    <t>Horas Extras: 0:46</t>
  </si>
  <si>
    <t>Total acumulado:  -11:25 (Julho)/ - 10:39 (Agosto)</t>
  </si>
  <si>
    <t>AGOSTO</t>
  </si>
  <si>
    <t>0:39 extra</t>
  </si>
  <si>
    <t>09:30 extra</t>
  </si>
  <si>
    <t>total extra 10:09</t>
  </si>
  <si>
    <t>Horas Extras: 10:09</t>
  </si>
  <si>
    <t>Horas Faltas: -14:58</t>
  </si>
  <si>
    <t>14:58:00 falta</t>
  </si>
  <si>
    <t>Total acumulado: -4:49 (Agosto)</t>
  </si>
  <si>
    <t>Horas Extras: 6:43</t>
  </si>
  <si>
    <t>Horas Faltas: -5:38</t>
  </si>
  <si>
    <t>Total acumulado:  - 30:51 (Julho)/ -29:46 (Agosto)</t>
  </si>
  <si>
    <t xml:space="preserve">MARCUS VINICIUS SCHIMER CAMARGOS </t>
  </si>
  <si>
    <t>-02:25:00.000</t>
  </si>
  <si>
    <t>Horas Extras: 6:37</t>
  </si>
  <si>
    <t>Horas Faltas: -2:25</t>
  </si>
  <si>
    <t>Total acumulado: 4:12 (Agosto)</t>
  </si>
  <si>
    <t xml:space="preserve">JULHO </t>
  </si>
  <si>
    <t>Horas Extras: 1:07</t>
  </si>
  <si>
    <t>Horas Faltas: -0:38</t>
  </si>
  <si>
    <t>Total acumulado:  -11:54 (Junho)/  -11:25 (Julho)</t>
  </si>
  <si>
    <t>-01:12:00.000</t>
  </si>
  <si>
    <t>-09:31:00.000</t>
  </si>
  <si>
    <t>Horas Extras: 10:37</t>
  </si>
  <si>
    <t>Horas Faltas: -9:40</t>
  </si>
  <si>
    <t>Total acumulado: 6:01 (Junho)/ 6:58 (Julho)</t>
  </si>
  <si>
    <t>-04 :37</t>
  </si>
  <si>
    <t>- 10:07</t>
  </si>
  <si>
    <t>- 10:57</t>
  </si>
  <si>
    <t>Horas Extras: 5:51</t>
  </si>
  <si>
    <t>Horas Faltas: -11:06</t>
  </si>
  <si>
    <t>Total acumulado: -25:36 (Junho)/ - 30:51 (Julho)</t>
  </si>
  <si>
    <t xml:space="preserve">JUNHO </t>
  </si>
  <si>
    <t>Horas Extras: 0:20</t>
  </si>
  <si>
    <t>Horas Faltas: -0:13</t>
  </si>
  <si>
    <t>Total acumulado: -12:01 (Maio)/ -11:54 (Junho)</t>
  </si>
  <si>
    <t>-7hrs</t>
  </si>
  <si>
    <t>1;25</t>
  </si>
  <si>
    <t>19h</t>
  </si>
  <si>
    <t>Horas Extras: 08:46</t>
  </si>
  <si>
    <t>Horas Faltas: -20:40</t>
  </si>
  <si>
    <t>Total acumulado: 17:55 (Maio)/  6:01 (Junho)</t>
  </si>
  <si>
    <t>-09:36:00.000</t>
  </si>
  <si>
    <t>Horas Extras: 2:00</t>
  </si>
  <si>
    <t>Horas Faltas: -09:36</t>
  </si>
  <si>
    <t>Total acumulado: -18:06 (Maio)/  -25:36 (Junho)</t>
  </si>
  <si>
    <t xml:space="preserve">RAISSA DE BRITO DO ESPIRITO SANTO </t>
  </si>
  <si>
    <t>-8hras</t>
  </si>
  <si>
    <t>o</t>
  </si>
  <si>
    <t>Horas Extras: 9:17</t>
  </si>
  <si>
    <t>Horas Faltas: -9:30</t>
  </si>
  <si>
    <t>Total acumulado:  -11:08 (Maio) / -10:55 (Junho)</t>
  </si>
  <si>
    <t xml:space="preserve">MAIO </t>
  </si>
  <si>
    <t xml:space="preserve">SEGUNDA  </t>
  </si>
  <si>
    <t>17;50</t>
  </si>
  <si>
    <t xml:space="preserve">QUINTA  </t>
  </si>
  <si>
    <t xml:space="preserve">até aqui </t>
  </si>
  <si>
    <t>Horas Extras: 09:25</t>
  </si>
  <si>
    <t>Horas Faltas: -0:40</t>
  </si>
  <si>
    <t>Total acumulado:  09:10 (Abril)/ 17:55 (Maio)</t>
  </si>
  <si>
    <t>Horas Extras: 0:23</t>
  </si>
  <si>
    <t>Horas Faltas: -0:17</t>
  </si>
  <si>
    <t>Total acumulado:  - 12:06 (Abril)/ -12:01 (Maio)</t>
  </si>
  <si>
    <t>-8h</t>
  </si>
  <si>
    <t>-4h</t>
  </si>
  <si>
    <t>-1hora</t>
  </si>
  <si>
    <t xml:space="preserve">-1hora </t>
  </si>
  <si>
    <t>Horas Extras: 8:10</t>
  </si>
  <si>
    <t>-16 horas falta</t>
  </si>
  <si>
    <t>Horas Faltas: -17:28</t>
  </si>
  <si>
    <t>Total acumulado:  - 01:50 (Abril)/ -11:08 (Maio)</t>
  </si>
  <si>
    <t xml:space="preserve">QUANTA </t>
  </si>
  <si>
    <t>- 5 horas</t>
  </si>
  <si>
    <t>-6 horas</t>
  </si>
  <si>
    <t>- 7 horas</t>
  </si>
  <si>
    <t>-8:45:00.000</t>
  </si>
  <si>
    <t>Horas Extras: 3:16</t>
  </si>
  <si>
    <t>Horas Faltas: -08:45</t>
  </si>
  <si>
    <t>Total acumulado:  - 12:37 (Abril) / -18:06 (Maio)</t>
  </si>
  <si>
    <t>ABRIL</t>
  </si>
  <si>
    <t>QUARTA</t>
  </si>
  <si>
    <t>ate aqui 22</t>
  </si>
  <si>
    <t>-10H</t>
  </si>
  <si>
    <t>-13:30H</t>
  </si>
  <si>
    <t>Horas Extras: 0:53</t>
  </si>
  <si>
    <t>Horas Faltas: -13:30</t>
  </si>
  <si>
    <t>Total acumulado:  - 12:37</t>
  </si>
  <si>
    <t>Horas Extras: 1:00</t>
  </si>
  <si>
    <t>Horas Faltas: -0:28</t>
  </si>
  <si>
    <t>Total acumulado:  -12:38 (Março)/ - 12:06 (Abril)</t>
  </si>
  <si>
    <t>atestado 11:50 as 13:40</t>
  </si>
  <si>
    <t>- 4h</t>
  </si>
  <si>
    <t>-9::50</t>
  </si>
  <si>
    <t>Horas Extras: 8:00</t>
  </si>
  <si>
    <t>Horas Faltas: -17:50</t>
  </si>
  <si>
    <t>Total acumulado:  - 09:50</t>
  </si>
  <si>
    <t>12;59</t>
  </si>
  <si>
    <t>Horas Extras: 10:25</t>
  </si>
  <si>
    <t>Horas Faltas: -12:31</t>
  </si>
  <si>
    <t>Total acumulado: 11:16 (Março) / 09:10 (Abril)</t>
  </si>
  <si>
    <t>FEVEREIRO</t>
  </si>
  <si>
    <t>SÁBADO: 08:00 ÀS 12:00 (2 POR MÊS)</t>
  </si>
  <si>
    <t>Horas Extras: 1:03</t>
  </si>
  <si>
    <t>Horas Faltas: 8:03</t>
  </si>
  <si>
    <t>Total acumulado:  - 6:39 (Janeiro)/ -13:39 (Fevereiro)</t>
  </si>
  <si>
    <t>EMILLY MARJORE SILVA ALVES</t>
  </si>
  <si>
    <t>17:52</t>
  </si>
  <si>
    <t>Horas Extras: 7:00</t>
  </si>
  <si>
    <t>Horas Faltas: 16:27</t>
  </si>
  <si>
    <t>Total acumulado: - 349:50 (Janeiro)/ - 358:33 (Fevereiro)</t>
  </si>
  <si>
    <t>Horas Extras: 9:37</t>
  </si>
  <si>
    <t>Horas Faltas: 0</t>
  </si>
  <si>
    <t>Total acumulado: 9:37 Fevereiro</t>
  </si>
  <si>
    <t>Horas Extras: 9:39</t>
  </si>
  <si>
    <t>Horas Faltas: 8:00</t>
  </si>
  <si>
    <t>Total acumulado: 9:37 (Fevereiro)/ 11:16 (Março)</t>
  </si>
  <si>
    <t>Horas Extras: 9:01</t>
  </si>
  <si>
    <t>Total acumulado:  -13:39 (Fevereiro) / -12:38 (Março)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</si>
</sst>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[hh]:mm:ss"/>
    <numFmt numFmtId="166" formatCode="d m"/>
    <numFmt numFmtId="167" formatCode="hh:mm:ss"/>
  </numFmts>
  <fonts count="29">
    <font>
      <sz val="10.0"/>
      <color rgb="FF000000"/>
      <name val="Arial"/>
      <scheme val="minor"/>
    </font>
    <font>
      <b/>
      <sz val="10.0"/>
      <color rgb="FF000000"/>
      <name val="Calibri"/>
    </font>
    <font/>
    <font>
      <color theme="1"/>
      <name val="Arial"/>
    </font>
    <font>
      <color theme="1"/>
      <name val="Arial"/>
      <scheme val="minor"/>
    </font>
    <font>
      <sz val="10.0"/>
      <color rgb="FF000000"/>
      <name val="Calibri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color rgb="FFFF0000"/>
      <name val="Arial"/>
      <scheme val="minor"/>
    </font>
    <font>
      <color rgb="FF000000"/>
      <name val="Arial"/>
      <scheme val="minor"/>
    </font>
    <font>
      <sz val="10.0"/>
      <color rgb="FF434343"/>
      <name val="Arial"/>
    </font>
    <font>
      <b/>
      <sz val="9.0"/>
      <color rgb="FF000000"/>
      <name val="Arial"/>
    </font>
    <font>
      <sz val="10.0"/>
      <color theme="1"/>
      <name val="Arial"/>
    </font>
    <font>
      <b/>
      <sz val="11.0"/>
      <color rgb="FF000000"/>
      <name val="Calibri"/>
    </font>
    <font>
      <b/>
      <sz val="18.0"/>
      <color rgb="FF000000"/>
      <name val="Calibri"/>
    </font>
    <font>
      <b/>
      <color rgb="FF000000"/>
      <name val="Calibri"/>
    </font>
    <font>
      <sz val="11.0"/>
      <color rgb="FF000000"/>
      <name val="Calibri"/>
    </font>
    <font>
      <color rgb="FF000000"/>
      <name val="Calibri"/>
    </font>
    <font>
      <b/>
      <sz val="8.0"/>
      <color theme="1"/>
      <name val="Arial"/>
    </font>
    <font>
      <color rgb="FFFF0000"/>
      <name val="Arial"/>
    </font>
    <font>
      <sz val="10.0"/>
      <color rgb="FF980000"/>
      <name val="Arial"/>
    </font>
    <font>
      <sz val="10.0"/>
      <color rgb="FFFF0000"/>
      <name val="Arial"/>
    </font>
    <font>
      <sz val="9.0"/>
      <color theme="1"/>
      <name val="Arial"/>
    </font>
    <font>
      <color rgb="FF000000"/>
      <name val="Arial"/>
    </font>
    <font>
      <sz val="9.0"/>
      <color rgb="FF000000"/>
      <name val="Arial"/>
    </font>
    <font>
      <b/>
      <color theme="1"/>
      <name val="Arial"/>
    </font>
    <font>
      <b/>
      <color rgb="FF000000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readingOrder="0" shrinkToFit="0" wrapText="0"/>
    </xf>
    <xf borderId="5" fillId="0" fontId="2" numFmtId="0" xfId="0" applyBorder="1" applyFont="1"/>
    <xf borderId="0" fillId="0" fontId="3" numFmtId="0" xfId="0" applyAlignment="1" applyFont="1">
      <alignment horizontal="left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2" fontId="3" numFmtId="0" xfId="0" applyAlignment="1" applyFill="1" applyFont="1">
      <alignment horizontal="left" shrinkToFit="0" vertical="bottom" wrapText="0"/>
    </xf>
    <xf borderId="0" fillId="2" fontId="4" numFmtId="0" xfId="0" applyFont="1"/>
    <xf borderId="11" fillId="0" fontId="5" numFmtId="0" xfId="0" applyAlignment="1" applyBorder="1" applyFont="1">
      <alignment horizontal="left" readingOrder="0" shrinkToFit="0" wrapText="0"/>
    </xf>
    <xf borderId="12" fillId="0" fontId="2" numFmtId="0" xfId="0" applyBorder="1" applyFont="1"/>
    <xf borderId="4" fillId="0" fontId="1" numFmtId="0" xfId="0" applyAlignment="1" applyBorder="1" applyFont="1">
      <alignment horizontal="left" shrinkToFit="0" wrapText="0"/>
    </xf>
    <xf borderId="11" fillId="0" fontId="1" numFmtId="0" xfId="0" applyAlignment="1" applyBorder="1" applyFont="1">
      <alignment horizontal="left" shrinkToFit="0" wrapText="0"/>
    </xf>
    <xf borderId="11" fillId="0" fontId="5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11" fillId="0" fontId="5" numFmtId="0" xfId="0" applyAlignment="1" applyBorder="1" applyFont="1">
      <alignment readingOrder="0" shrinkToFit="0" vertical="bottom" wrapText="0"/>
    </xf>
    <xf borderId="11" fillId="0" fontId="5" numFmtId="0" xfId="0" applyAlignment="1" applyBorder="1" applyFont="1">
      <alignment horizontal="left" shrinkToFit="0" wrapText="0"/>
    </xf>
    <xf borderId="11" fillId="0" fontId="1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left" readingOrder="0"/>
    </xf>
    <xf borderId="4" fillId="2" fontId="6" numFmtId="0" xfId="0" applyAlignment="1" applyBorder="1" applyFont="1">
      <alignment horizontal="center" readingOrder="0" shrinkToFit="0" wrapText="0"/>
    </xf>
    <xf borderId="11" fillId="2" fontId="6" numFmtId="0" xfId="0" applyAlignment="1" applyBorder="1" applyFont="1">
      <alignment horizontal="center" readingOrder="0" shrinkToFit="0" vertical="bottom" wrapText="0"/>
    </xf>
    <xf borderId="11" fillId="2" fontId="6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4" fillId="2" fontId="7" numFmtId="164" xfId="0" applyAlignment="1" applyBorder="1" applyFont="1" applyNumberFormat="1">
      <alignment horizontal="center" readingOrder="0" shrinkToFit="0" wrapText="0"/>
    </xf>
    <xf borderId="0" fillId="2" fontId="4" numFmtId="0" xfId="0" applyAlignment="1" applyFont="1">
      <alignment readingOrder="0"/>
    </xf>
    <xf borderId="11" fillId="2" fontId="8" numFmtId="0" xfId="0" applyAlignment="1" applyBorder="1" applyFont="1">
      <alignment horizontal="center" readingOrder="0" shrinkToFit="0" vertical="bottom" wrapText="0"/>
    </xf>
    <xf borderId="0" fillId="2" fontId="9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bottom" wrapText="0"/>
    </xf>
    <xf borderId="11" fillId="2" fontId="1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readingOrder="0" shrinkToFit="0" wrapText="0"/>
    </xf>
    <xf borderId="0" fillId="2" fontId="4" numFmtId="164" xfId="0" applyAlignment="1" applyFont="1" applyNumberFormat="1">
      <alignment readingOrder="0"/>
    </xf>
    <xf borderId="4" fillId="2" fontId="7" numFmtId="164" xfId="0" applyAlignment="1" applyBorder="1" applyFont="1" applyNumberFormat="1">
      <alignment horizontal="center" readingOrder="0" shrinkToFit="0" vertical="bottom" wrapText="0"/>
    </xf>
    <xf borderId="0" fillId="2" fontId="4" numFmtId="165" xfId="0" applyAlignment="1" applyFont="1" applyNumberFormat="1">
      <alignment readingOrder="0"/>
    </xf>
    <xf borderId="0" fillId="2" fontId="3" numFmtId="164" xfId="0" applyAlignment="1" applyFont="1" applyNumberFormat="1">
      <alignment horizontal="left" readingOrder="0" shrinkToFit="0" vertical="bottom" wrapText="0"/>
    </xf>
    <xf borderId="0" fillId="2" fontId="10" numFmtId="0" xfId="0" applyAlignment="1" applyFont="1">
      <alignment readingOrder="0"/>
    </xf>
    <xf borderId="0" fillId="2" fontId="3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readingOrder="0"/>
    </xf>
    <xf borderId="4" fillId="2" fontId="11" numFmtId="164" xfId="0" applyAlignment="1" applyBorder="1" applyFont="1" applyNumberFormat="1">
      <alignment horizontal="center" readingOrder="0" shrinkToFit="0" vertical="bottom" wrapText="0"/>
    </xf>
    <xf borderId="0" fillId="2" fontId="9" numFmtId="164" xfId="0" applyAlignment="1" applyFont="1" applyNumberFormat="1">
      <alignment readingOrder="0"/>
    </xf>
    <xf borderId="0" fillId="2" fontId="12" numFmtId="0" xfId="0" applyAlignment="1" applyFont="1">
      <alignment horizontal="center" readingOrder="0" shrinkToFit="0" vertical="bottom" wrapText="0"/>
    </xf>
    <xf borderId="0" fillId="2" fontId="12" numFmtId="164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left" readingOrder="0" shrinkToFit="0" vertical="bottom" wrapText="0"/>
    </xf>
    <xf borderId="4" fillId="2" fontId="8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left" readingOrder="0" shrinkToFit="0" vertical="bottom" wrapText="0"/>
    </xf>
    <xf borderId="4" fillId="2" fontId="13" numFmtId="0" xfId="0" applyAlignment="1" applyBorder="1" applyFont="1">
      <alignment horizontal="left" readingOrder="0" shrinkToFit="0" vertical="bottom" wrapText="0"/>
    </xf>
    <xf borderId="1" fillId="2" fontId="13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 shrinkToFit="0" wrapText="0"/>
    </xf>
    <xf borderId="2" fillId="0" fontId="13" numFmtId="0" xfId="0" applyAlignment="1" applyBorder="1" applyFont="1">
      <alignment horizontal="left" shrinkToFit="0" wrapText="0"/>
    </xf>
    <xf borderId="6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left" shrinkToFit="0" wrapText="0"/>
    </xf>
    <xf borderId="10" fillId="0" fontId="3" numFmtId="0" xfId="0" applyAlignment="1" applyBorder="1" applyFont="1">
      <alignment horizontal="left" shrinkToFit="0" wrapText="0"/>
    </xf>
    <xf borderId="9" fillId="0" fontId="3" numFmtId="0" xfId="0" applyAlignment="1" applyBorder="1" applyFont="1">
      <alignment horizontal="left" shrinkToFit="0" wrapText="0"/>
    </xf>
    <xf borderId="1" fillId="2" fontId="14" numFmtId="0" xfId="0" applyAlignment="1" applyBorder="1" applyFont="1">
      <alignment horizontal="center" readingOrder="0" shrinkToFit="0" wrapText="0"/>
    </xf>
    <xf borderId="1" fillId="2" fontId="15" numFmtId="0" xfId="0" applyAlignment="1" applyBorder="1" applyFont="1">
      <alignment horizontal="center" readingOrder="0" shrinkToFit="0" wrapText="0"/>
    </xf>
    <xf borderId="4" fillId="2" fontId="16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11" fillId="2" fontId="18" numFmtId="0" xfId="0" applyAlignment="1" applyBorder="1" applyFont="1">
      <alignment horizontal="left" readingOrder="0" shrinkToFit="0" wrapText="0"/>
    </xf>
    <xf borderId="12" fillId="2" fontId="16" numFmtId="0" xfId="0" applyAlignment="1" applyBorder="1" applyFont="1">
      <alignment horizontal="left" readingOrder="0" shrinkToFit="0" wrapText="0"/>
    </xf>
    <xf borderId="3" fillId="2" fontId="16" numFmtId="0" xfId="0" applyAlignment="1" applyBorder="1" applyFont="1">
      <alignment horizontal="left" shrinkToFit="0" wrapText="0"/>
    </xf>
    <xf borderId="2" fillId="2" fontId="16" numFmtId="0" xfId="0" applyAlignment="1" applyBorder="1" applyFont="1">
      <alignment horizontal="left" shrinkToFit="0" wrapText="0"/>
    </xf>
    <xf borderId="11" fillId="2" fontId="18" numFmtId="0" xfId="0" applyAlignment="1" applyBorder="1" applyFont="1">
      <alignment readingOrder="0" shrinkToFit="0" wrapText="0"/>
    </xf>
    <xf borderId="3" fillId="2" fontId="18" numFmtId="0" xfId="0" applyAlignment="1" applyBorder="1" applyFont="1">
      <alignment horizontal="left" readingOrder="0" shrinkToFit="0" wrapText="0"/>
    </xf>
    <xf borderId="11" fillId="2" fontId="18" numFmtId="0" xfId="0" applyAlignment="1" applyBorder="1" applyFont="1">
      <alignment readingOrder="0" shrinkToFit="0" vertical="bottom" wrapText="0"/>
    </xf>
    <xf borderId="11" fillId="2" fontId="18" numFmtId="0" xfId="0" applyAlignment="1" applyBorder="1" applyFont="1">
      <alignment horizontal="left" shrinkToFit="0" wrapText="0"/>
    </xf>
    <xf borderId="11" fillId="2" fontId="16" numFmtId="0" xfId="0" applyAlignment="1" applyBorder="1" applyFont="1">
      <alignment horizontal="center" shrinkToFit="0" wrapText="0"/>
    </xf>
    <xf borderId="1" fillId="2" fontId="18" numFmtId="0" xfId="0" applyAlignment="1" applyBorder="1" applyFont="1">
      <alignment horizontal="left" readingOrder="0" shrinkToFit="0" wrapText="0"/>
    </xf>
    <xf borderId="4" fillId="2" fontId="18" numFmtId="0" xfId="0" applyAlignment="1" applyBorder="1" applyFont="1">
      <alignment horizontal="left" readingOrder="0"/>
    </xf>
    <xf borderId="4" fillId="2" fontId="19" numFmtId="0" xfId="0" applyAlignment="1" applyBorder="1" applyFont="1">
      <alignment horizontal="center" readingOrder="0" shrinkToFit="0" wrapText="0"/>
    </xf>
    <xf borderId="10" fillId="2" fontId="19" numFmtId="0" xfId="0" applyAlignment="1" applyBorder="1" applyFont="1">
      <alignment horizontal="center" readingOrder="0" shrinkToFit="0" wrapText="0"/>
    </xf>
    <xf borderId="11" fillId="2" fontId="19" numFmtId="0" xfId="0" applyAlignment="1" applyBorder="1" applyFont="1">
      <alignment horizontal="center" readingOrder="0" shrinkToFit="0" vertical="bottom" wrapText="0"/>
    </xf>
    <xf borderId="12" fillId="2" fontId="19" numFmtId="0" xfId="0" applyAlignment="1" applyBorder="1" applyFont="1">
      <alignment horizontal="center" readingOrder="0" shrinkToFit="0" wrapText="0"/>
    </xf>
    <xf borderId="11" fillId="2" fontId="19" numFmtId="0" xfId="0" applyAlignment="1" applyBorder="1" applyFont="1">
      <alignment readingOrder="0" shrinkToFit="0" vertical="bottom" wrapText="0"/>
    </xf>
    <xf borderId="11" fillId="3" fontId="4" numFmtId="0" xfId="0" applyAlignment="1" applyBorder="1" applyFill="1" applyFont="1">
      <alignment horizontal="center" readingOrder="0"/>
    </xf>
    <xf borderId="11" fillId="0" fontId="3" numFmtId="164" xfId="0" applyAlignment="1" applyBorder="1" applyFont="1" applyNumberFormat="1">
      <alignment horizontal="center" vertical="bottom"/>
    </xf>
    <xf borderId="11" fillId="0" fontId="3" numFmtId="0" xfId="0" applyAlignment="1" applyBorder="1" applyFont="1">
      <alignment horizontal="center" readingOrder="0" vertical="bottom"/>
    </xf>
    <xf borderId="0" fillId="0" fontId="9" numFmtId="0" xfId="0" applyFont="1"/>
    <xf borderId="0" fillId="2" fontId="20" numFmtId="0" xfId="0" applyAlignment="1" applyFont="1">
      <alignment horizontal="left" readingOrder="0" shrinkToFit="0" vertical="bottom" wrapText="0"/>
    </xf>
    <xf borderId="11" fillId="0" fontId="3" numFmtId="164" xfId="0" applyAlignment="1" applyBorder="1" applyFont="1" applyNumberFormat="1">
      <alignment horizontal="center" readingOrder="0" vertical="bottom"/>
    </xf>
    <xf borderId="4" fillId="2" fontId="7" numFmtId="0" xfId="0" applyAlignment="1" applyBorder="1" applyFont="1">
      <alignment horizontal="center" readingOrder="0" shrinkToFit="0" vertical="bottom" wrapText="0"/>
    </xf>
    <xf borderId="11" fillId="0" fontId="4" numFmtId="0" xfId="0" applyAlignment="1" applyBorder="1" applyFont="1">
      <alignment horizontal="center" readingOrder="0"/>
    </xf>
    <xf borderId="11" fillId="0" fontId="4" numFmtId="164" xfId="0" applyAlignment="1" applyBorder="1" applyFont="1" applyNumberFormat="1">
      <alignment horizontal="center" readingOrder="0"/>
    </xf>
    <xf borderId="11" fillId="0" fontId="4" numFmtId="0" xfId="0" applyAlignment="1" applyBorder="1" applyFont="1">
      <alignment horizontal="center"/>
    </xf>
    <xf borderId="11" fillId="0" fontId="4" numFmtId="164" xfId="0" applyAlignment="1" applyBorder="1" applyFont="1" applyNumberFormat="1">
      <alignment horizontal="center"/>
    </xf>
    <xf borderId="0" fillId="3" fontId="4" numFmtId="0" xfId="0" applyAlignment="1" applyFont="1">
      <alignment readingOrder="0"/>
    </xf>
    <xf borderId="0" fillId="3" fontId="4" numFmtId="164" xfId="0" applyAlignment="1" applyFont="1" applyNumberFormat="1">
      <alignment readingOrder="0"/>
    </xf>
    <xf borderId="0" fillId="3" fontId="4" numFmtId="0" xfId="0" applyFont="1"/>
    <xf borderId="0" fillId="2" fontId="4" numFmtId="0" xfId="0" applyAlignment="1" applyFont="1">
      <alignment horizontal="right" readingOrder="0"/>
    </xf>
    <xf borderId="0" fillId="2" fontId="9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4" fillId="2" fontId="21" numFmtId="164" xfId="0" applyAlignment="1" applyBorder="1" applyFont="1" applyNumberFormat="1">
      <alignment horizontal="center" readingOrder="0" shrinkToFit="0" vertical="bottom" wrapText="0"/>
    </xf>
    <xf borderId="4" fillId="2" fontId="22" numFmtId="164" xfId="0" applyAlignment="1" applyBorder="1" applyFont="1" applyNumberFormat="1">
      <alignment horizontal="center" readingOrder="0" shrinkToFit="0" wrapText="0"/>
    </xf>
    <xf borderId="0" fillId="0" fontId="9" numFmtId="165" xfId="0" applyAlignment="1" applyFont="1" applyNumberFormat="1">
      <alignment readingOrder="0"/>
    </xf>
    <xf borderId="4" fillId="2" fontId="22" numFmtId="164" xfId="0" applyAlignment="1" applyBorder="1" applyFont="1" applyNumberFormat="1">
      <alignment horizontal="center" readingOrder="0" shrinkToFit="0" vertical="bottom" wrapText="0"/>
    </xf>
    <xf borderId="4" fillId="2" fontId="12" numFmtId="0" xfId="0" applyAlignment="1" applyBorder="1" applyFont="1">
      <alignment horizontal="center" readingOrder="0" shrinkToFit="0" vertical="bottom" wrapText="0"/>
    </xf>
    <xf borderId="11" fillId="3" fontId="4" numFmtId="0" xfId="0" applyAlignment="1" applyBorder="1" applyFont="1">
      <alignment horizontal="center"/>
    </xf>
    <xf borderId="11" fillId="3" fontId="4" numFmtId="164" xfId="0" applyAlignment="1" applyBorder="1" applyFont="1" applyNumberFormat="1">
      <alignment horizontal="center"/>
    </xf>
    <xf borderId="11" fillId="3" fontId="4" numFmtId="164" xfId="0" applyAlignment="1" applyBorder="1" applyFont="1" applyNumberFormat="1">
      <alignment horizontal="center" readingOrder="0"/>
    </xf>
    <xf borderId="4" fillId="2" fontId="23" numFmtId="0" xfId="0" applyAlignment="1" applyBorder="1" applyFont="1">
      <alignment horizontal="left" readingOrder="0" shrinkToFit="0" vertical="bottom" wrapText="0"/>
    </xf>
    <xf borderId="12" fillId="2" fontId="23" numFmtId="0" xfId="0" applyAlignment="1" applyBorder="1" applyFont="1">
      <alignment horizontal="left" shrinkToFit="0" vertical="bottom" wrapText="0"/>
    </xf>
    <xf borderId="5" fillId="2" fontId="2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0" fillId="2" fontId="3" numFmtId="0" xfId="0" applyAlignment="1" applyFont="1">
      <alignment horizontal="left" shrinkToFit="0" wrapText="0"/>
    </xf>
    <xf borderId="7" fillId="2" fontId="3" numFmtId="0" xfId="0" applyAlignment="1" applyBorder="1" applyFont="1">
      <alignment horizontal="left" shrinkToFit="0" wrapText="0"/>
    </xf>
    <xf borderId="6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0"/>
    </xf>
    <xf borderId="7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horizontal="left" shrinkToFit="0" wrapText="0"/>
    </xf>
    <xf borderId="10" fillId="2" fontId="3" numFmtId="0" xfId="0" applyAlignment="1" applyBorder="1" applyFont="1">
      <alignment horizontal="left" shrinkToFit="0" wrapText="0"/>
    </xf>
    <xf borderId="9" fillId="2" fontId="3" numFmtId="0" xfId="0" applyAlignment="1" applyBorder="1" applyFont="1">
      <alignment horizontal="left" shrinkToFit="0" wrapText="0"/>
    </xf>
    <xf borderId="4" fillId="2" fontId="16" numFmtId="0" xfId="0" applyAlignment="1" applyBorder="1" applyFont="1">
      <alignment horizontal="left" shrinkToFit="0" wrapText="0"/>
    </xf>
    <xf borderId="11" fillId="2" fontId="16" numFmtId="0" xfId="0" applyAlignment="1" applyBorder="1" applyFont="1">
      <alignment horizontal="left" shrinkToFit="0" wrapText="0"/>
    </xf>
    <xf borderId="4" fillId="2" fontId="18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shrinkToFit="0" vertical="bottom" wrapText="0"/>
    </xf>
    <xf borderId="0" fillId="2" fontId="24" numFmtId="0" xfId="0" applyAlignment="1" applyFont="1">
      <alignment horizontal="right" readingOrder="0" shrinkToFit="0" vertical="bottom" wrapText="0"/>
    </xf>
    <xf borderId="0" fillId="0" fontId="9" numFmtId="164" xfId="0" applyAlignment="1" applyFont="1" applyNumberFormat="1">
      <alignment readingOrder="0"/>
    </xf>
    <xf borderId="11" fillId="2" fontId="4" numFmtId="0" xfId="0" applyAlignment="1" applyBorder="1" applyFont="1">
      <alignment horizontal="center" readingOrder="0"/>
    </xf>
    <xf borderId="11" fillId="2" fontId="4" numFmtId="165" xfId="0" applyAlignment="1" applyBorder="1" applyFont="1" applyNumberFormat="1">
      <alignment horizontal="center" readingOrder="0"/>
    </xf>
    <xf borderId="1" fillId="2" fontId="2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horizontal="left" shrinkToFit="0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vertical="bottom"/>
    </xf>
    <xf borderId="0" fillId="0" fontId="20" numFmtId="0" xfId="0" applyAlignment="1" applyFont="1">
      <alignment horizontal="left" readingOrder="0" shrinkToFit="0" vertical="bottom" wrapText="0"/>
    </xf>
    <xf borderId="4" fillId="2" fontId="25" numFmtId="0" xfId="0" applyAlignment="1" applyBorder="1" applyFont="1">
      <alignment horizontal="left" readingOrder="0" shrinkToFit="0" vertical="bottom" wrapText="0"/>
    </xf>
    <xf borderId="4" fillId="2" fontId="24" numFmtId="0" xfId="0" applyAlignment="1" applyBorder="1" applyFont="1">
      <alignment horizontal="center" readingOrder="0" shrinkToFit="0" vertical="bottom" wrapText="0"/>
    </xf>
    <xf borderId="11" fillId="2" fontId="26" numFmtId="0" xfId="0" applyAlignment="1" applyBorder="1" applyFont="1">
      <alignment horizontal="center" readingOrder="0" shrinkToFit="0" vertical="bottom" wrapText="0"/>
    </xf>
    <xf borderId="11" fillId="2" fontId="27" numFmtId="0" xfId="0" applyAlignment="1" applyBorder="1" applyFont="1">
      <alignment horizontal="center" readingOrder="0" shrinkToFit="0" vertical="bottom" wrapText="0"/>
    </xf>
    <xf borderId="4" fillId="2" fontId="24" numFmtId="164" xfId="0" applyAlignment="1" applyBorder="1" applyFont="1" applyNumberFormat="1">
      <alignment horizontal="center" readingOrder="0" shrinkToFit="0" vertical="bottom" wrapText="0"/>
    </xf>
    <xf borderId="4" fillId="2" fontId="24" numFmtId="164" xfId="0" applyAlignment="1" applyBorder="1" applyFont="1" applyNumberFormat="1">
      <alignment horizontal="center" readingOrder="0" shrinkToFit="0" wrapText="0"/>
    </xf>
    <xf borderId="4" fillId="2" fontId="3" numFmtId="164" xfId="0" applyAlignment="1" applyBorder="1" applyFont="1" applyNumberFormat="1">
      <alignment horizontal="center" readingOrder="0" vertical="bottom"/>
    </xf>
    <xf borderId="4" fillId="2" fontId="20" numFmtId="164" xfId="0" applyAlignment="1" applyBorder="1" applyFont="1" applyNumberFormat="1">
      <alignment horizontal="center" readingOrder="0" shrinkToFit="0" vertical="bottom" wrapText="0"/>
    </xf>
    <xf borderId="4" fillId="2" fontId="3" numFmtId="0" xfId="0" applyAlignment="1" applyBorder="1" applyFont="1">
      <alignment horizontal="center" readingOrder="0" vertical="bottom"/>
    </xf>
    <xf borderId="4" fillId="2" fontId="14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vertical="bottom"/>
    </xf>
    <xf borderId="0" fillId="0" fontId="4" numFmtId="0" xfId="0" applyFont="1"/>
    <xf borderId="1" fillId="2" fontId="14" numFmtId="0" xfId="0" applyAlignment="1" applyBorder="1" applyFont="1">
      <alignment horizontal="center" readingOrder="0" shrinkToFit="0" vertical="bottom" wrapText="0"/>
    </xf>
    <xf borderId="11" fillId="2" fontId="14" numFmtId="0" xfId="0" applyAlignment="1" applyBorder="1" applyFont="1">
      <alignment horizontal="center" readingOrder="0" shrinkToFit="0" vertical="bottom" wrapText="0"/>
    </xf>
    <xf borderId="0" fillId="3" fontId="4" numFmtId="0" xfId="0" applyAlignment="1" applyFont="1">
      <alignment horizontal="right" readingOrder="0"/>
    </xf>
    <xf borderId="4" fillId="2" fontId="20" numFmtId="0" xfId="0" applyAlignment="1" applyBorder="1" applyFont="1">
      <alignment horizontal="center" readingOrder="0" shrinkToFit="0" vertical="bottom" wrapText="0"/>
    </xf>
    <xf borderId="11" fillId="0" fontId="3" numFmtId="0" xfId="0" applyAlignment="1" applyBorder="1" applyFont="1">
      <alignment horizontal="center" vertical="bottom"/>
    </xf>
    <xf borderId="11" fillId="2" fontId="12" numFmtId="0" xfId="0" applyAlignment="1" applyBorder="1" applyFont="1">
      <alignment horizontal="center" readingOrder="0" shrinkToFit="0" vertical="bottom" wrapText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4" fillId="2" fontId="3" numFmtId="164" xfId="0" applyAlignment="1" applyBorder="1" applyFont="1" applyNumberFormat="1">
      <alignment horizontal="center" vertical="bottom"/>
    </xf>
    <xf borderId="11" fillId="2" fontId="4" numFmtId="164" xfId="0" applyAlignment="1" applyBorder="1" applyFont="1" applyNumberFormat="1">
      <alignment horizontal="center" readingOrder="0"/>
    </xf>
    <xf borderId="4" fillId="2" fontId="20" numFmtId="164" xfId="0" applyAlignment="1" applyBorder="1" applyFont="1" applyNumberFormat="1">
      <alignment horizontal="center" readingOrder="0" shrinkToFit="0" wrapText="0"/>
    </xf>
    <xf borderId="1" fillId="0" fontId="14" numFmtId="0" xfId="0" applyAlignment="1" applyBorder="1" applyFont="1">
      <alignment horizontal="center" readingOrder="0" shrinkToFit="0" wrapText="0"/>
    </xf>
    <xf borderId="1" fillId="0" fontId="15" numFmtId="0" xfId="0" applyAlignment="1" applyBorder="1" applyFont="1">
      <alignment horizontal="center" readingOrder="0" shrinkToFit="0" wrapText="0"/>
    </xf>
    <xf borderId="4" fillId="0" fontId="16" numFmtId="0" xfId="0" applyAlignment="1" applyBorder="1" applyFont="1">
      <alignment horizontal="left" readingOrder="0" shrinkToFit="0" wrapText="0"/>
    </xf>
    <xf borderId="11" fillId="0" fontId="18" numFmtId="0" xfId="0" applyAlignment="1" applyBorder="1" applyFont="1">
      <alignment horizontal="left" readingOrder="0" shrinkToFit="0" wrapText="0"/>
    </xf>
    <xf borderId="4" fillId="0" fontId="16" numFmtId="0" xfId="0" applyAlignment="1" applyBorder="1" applyFont="1">
      <alignment horizontal="left" shrinkToFit="0" wrapText="0"/>
    </xf>
    <xf borderId="11" fillId="0" fontId="16" numFmtId="0" xfId="0" applyAlignment="1" applyBorder="1" applyFont="1">
      <alignment horizontal="left" shrinkToFit="0" wrapText="0"/>
    </xf>
    <xf borderId="11" fillId="0" fontId="18" numFmtId="0" xfId="0" applyAlignment="1" applyBorder="1" applyFont="1">
      <alignment readingOrder="0" shrinkToFit="0" wrapText="0"/>
    </xf>
    <xf borderId="4" fillId="0" fontId="18" numFmtId="0" xfId="0" applyAlignment="1" applyBorder="1" applyFont="1">
      <alignment horizontal="left" readingOrder="0" shrinkToFit="0" wrapText="0"/>
    </xf>
    <xf borderId="11" fillId="0" fontId="18" numFmtId="0" xfId="0" applyAlignment="1" applyBorder="1" applyFont="1">
      <alignment readingOrder="0" shrinkToFit="0" vertical="bottom" wrapText="0"/>
    </xf>
    <xf borderId="11" fillId="0" fontId="18" numFmtId="0" xfId="0" applyAlignment="1" applyBorder="1" applyFont="1">
      <alignment horizontal="left" shrinkToFit="0" wrapText="0"/>
    </xf>
    <xf borderId="11" fillId="0" fontId="16" numFmtId="0" xfId="0" applyAlignment="1" applyBorder="1" applyFont="1">
      <alignment horizontal="center" shrinkToFit="0" wrapText="0"/>
    </xf>
    <xf borderId="4" fillId="0" fontId="18" numFmtId="0" xfId="0" applyAlignment="1" applyBorder="1" applyFont="1">
      <alignment horizontal="left" readingOrder="0"/>
    </xf>
    <xf borderId="4" fillId="2" fontId="24" numFmtId="0" xfId="0" applyAlignment="1" applyBorder="1" applyFont="1">
      <alignment horizontal="center" readingOrder="0" shrinkToFit="0" wrapText="0"/>
    </xf>
    <xf borderId="11" fillId="2" fontId="10" numFmtId="0" xfId="0" applyAlignment="1" applyBorder="1" applyFont="1">
      <alignment horizontal="center" readingOrder="0"/>
    </xf>
    <xf borderId="0" fillId="3" fontId="9" numFmtId="0" xfId="0" applyAlignment="1" applyFont="1">
      <alignment readingOrder="0"/>
    </xf>
    <xf borderId="11" fillId="3" fontId="4" numFmtId="165" xfId="0" applyAlignment="1" applyBorder="1" applyFont="1" applyNumberFormat="1">
      <alignment horizontal="center" readingOrder="0"/>
    </xf>
    <xf borderId="12" fillId="2" fontId="3" numFmtId="164" xfId="0" applyAlignment="1" applyBorder="1" applyFont="1" applyNumberFormat="1">
      <alignment horizontal="center" readingOrder="0" vertical="bottom"/>
    </xf>
    <xf borderId="11" fillId="2" fontId="9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/>
    </xf>
    <xf borderId="0" fillId="4" fontId="4" numFmtId="164" xfId="0" applyAlignment="1" applyFill="1" applyFont="1" applyNumberFormat="1">
      <alignment readingOrder="0"/>
    </xf>
    <xf borderId="0" fillId="3" fontId="4" numFmtId="165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2" fontId="10" numFmtId="164" xfId="0" applyAlignment="1" applyFont="1" applyNumberFormat="1">
      <alignment readingOrder="0"/>
    </xf>
    <xf borderId="0" fillId="5" fontId="4" numFmtId="164" xfId="0" applyAlignment="1" applyFill="1" applyFont="1" applyNumberFormat="1">
      <alignment readingOrder="0"/>
    </xf>
    <xf borderId="0" fillId="5" fontId="4" numFmtId="0" xfId="0" applyAlignment="1" applyFont="1">
      <alignment readingOrder="0"/>
    </xf>
    <xf borderId="12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0" fillId="3" fontId="3" numFmtId="164" xfId="0" applyAlignment="1" applyFont="1" applyNumberFormat="1">
      <alignment horizontal="right" vertical="bottom"/>
    </xf>
    <xf borderId="0" fillId="3" fontId="20" numFmtId="0" xfId="0" applyAlignment="1" applyFont="1">
      <alignment readingOrder="0" vertical="bottom"/>
    </xf>
    <xf borderId="1" fillId="0" fontId="14" numFmtId="0" xfId="0" applyAlignment="1" applyBorder="1" applyFont="1">
      <alignment horizontal="center" readingOrder="0" shrinkToFit="0" vertical="bottom" wrapText="0"/>
    </xf>
    <xf borderId="11" fillId="0" fontId="14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2" fontId="3" numFmtId="0" xfId="0" applyAlignment="1" applyBorder="1" applyFont="1">
      <alignment horizontal="center" vertical="bottom"/>
    </xf>
    <xf borderId="13" fillId="0" fontId="14" numFmtId="0" xfId="0" applyAlignment="1" applyBorder="1" applyFont="1">
      <alignment horizontal="center" readingOrder="0" shrinkToFit="0" vertical="bottom" wrapText="0"/>
    </xf>
    <xf borderId="0" fillId="3" fontId="9" numFmtId="165" xfId="0" applyAlignment="1" applyFont="1" applyNumberFormat="1">
      <alignment readingOrder="0"/>
    </xf>
    <xf borderId="8" fillId="2" fontId="26" numFmtId="0" xfId="0" applyAlignment="1" applyBorder="1" applyFont="1">
      <alignment horizontal="center" readingOrder="0" shrinkToFit="0" vertical="bottom" wrapText="0"/>
    </xf>
    <xf borderId="4" fillId="2" fontId="27" numFmtId="0" xfId="0" applyAlignment="1" applyBorder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  <xf borderId="1" fillId="2" fontId="27" numFmtId="0" xfId="0" applyAlignment="1" applyBorder="1" applyFont="1">
      <alignment horizontal="center" readingOrder="0" shrinkToFit="0" vertical="bottom" wrapText="0"/>
    </xf>
    <xf borderId="13" fillId="2" fontId="14" numFmtId="0" xfId="0" applyAlignment="1" applyBorder="1" applyFont="1">
      <alignment horizontal="center" readingOrder="0" shrinkToFit="0" vertical="bottom" wrapText="0"/>
    </xf>
    <xf borderId="8" fillId="2" fontId="12" numFmtId="0" xfId="0" applyAlignment="1" applyBorder="1" applyFont="1">
      <alignment horizontal="center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2" fillId="2" fontId="3" numFmtId="0" xfId="0" applyAlignment="1" applyBorder="1" applyFont="1">
      <alignment horizontal="left" shrinkToFit="0" wrapText="0"/>
    </xf>
    <xf borderId="6" fillId="2" fontId="3" numFmtId="0" xfId="0" applyAlignment="1" applyBorder="1" applyFont="1">
      <alignment shrinkToFit="0" vertical="bottom" wrapText="0"/>
    </xf>
    <xf borderId="12" fillId="0" fontId="16" numFmtId="0" xfId="0" applyAlignment="1" applyBorder="1" applyFont="1">
      <alignment horizontal="left" readingOrder="0" shrinkToFit="0" wrapText="0"/>
    </xf>
    <xf borderId="3" fillId="0" fontId="16" numFmtId="0" xfId="0" applyAlignment="1" applyBorder="1" applyFont="1">
      <alignment horizontal="left" shrinkToFit="0" wrapText="0"/>
    </xf>
    <xf borderId="2" fillId="0" fontId="16" numFmtId="0" xfId="0" applyAlignment="1" applyBorder="1" applyFont="1">
      <alignment horizontal="left" shrinkToFit="0" wrapText="0"/>
    </xf>
    <xf borderId="3" fillId="0" fontId="18" numFmtId="0" xfId="0" applyAlignment="1" applyBorder="1" applyFont="1">
      <alignment horizontal="left" readingOrder="0" shrinkToFit="0" wrapText="0"/>
    </xf>
    <xf borderId="1" fillId="0" fontId="18" numFmtId="0" xfId="0" applyAlignment="1" applyBorder="1" applyFont="1">
      <alignment horizontal="left" readingOrder="0" shrinkToFit="0" wrapText="0"/>
    </xf>
    <xf borderId="0" fillId="6" fontId="4" numFmtId="0" xfId="0" applyAlignment="1" applyFill="1" applyFont="1">
      <alignment readingOrder="0"/>
    </xf>
    <xf borderId="0" fillId="6" fontId="9" numFmtId="0" xfId="0" applyAlignment="1" applyFont="1">
      <alignment readingOrder="0"/>
    </xf>
    <xf borderId="0" fillId="6" fontId="4" numFmtId="164" xfId="0" applyAlignment="1" applyFont="1" applyNumberFormat="1">
      <alignment readingOrder="0"/>
    </xf>
    <xf borderId="0" fillId="6" fontId="9" numFmtId="165" xfId="0" applyAlignment="1" applyFont="1" applyNumberFormat="1">
      <alignment readingOrder="0"/>
    </xf>
    <xf borderId="0" fillId="0" fontId="3" numFmtId="0" xfId="0" applyAlignment="1" applyFont="1">
      <alignment horizontal="left" shrinkToFit="0" wrapText="0"/>
    </xf>
    <xf borderId="7" fillId="0" fontId="3" numFmtId="0" xfId="0" applyAlignment="1" applyBorder="1" applyFont="1">
      <alignment horizontal="left" shrinkToFit="0" wrapText="0"/>
    </xf>
    <xf borderId="4" fillId="2" fontId="28" numFmtId="0" xfId="0" applyAlignment="1" applyBorder="1" applyFont="1">
      <alignment horizontal="center" readingOrder="0" shrinkToFit="0" vertical="bottom" wrapText="0"/>
    </xf>
    <xf borderId="0" fillId="6" fontId="4" numFmtId="165" xfId="0" applyAlignment="1" applyFont="1" applyNumberFormat="1">
      <alignment readingOrder="0"/>
    </xf>
    <xf borderId="0" fillId="6" fontId="4" numFmtId="0" xfId="0" applyAlignment="1" applyFont="1">
      <alignment horizontal="right" readingOrder="0"/>
    </xf>
    <xf borderId="0" fillId="3" fontId="3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3" fontId="10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4" fillId="0" fontId="24" numFmtId="0" xfId="0" applyAlignment="1" applyBorder="1" applyFont="1">
      <alignment horizontal="center" readingOrder="0" shrinkToFit="0" wrapText="0"/>
    </xf>
    <xf borderId="0" fillId="0" fontId="4" numFmtId="165" xfId="0" applyAlignment="1" applyFont="1" applyNumberFormat="1">
      <alignment readingOrder="0"/>
    </xf>
    <xf borderId="5" fillId="0" fontId="16" numFmtId="0" xfId="0" applyAlignment="1" applyBorder="1" applyFont="1">
      <alignment horizontal="left" shrinkToFit="0" wrapText="0"/>
    </xf>
    <xf borderId="2" fillId="0" fontId="18" numFmtId="0" xfId="0" applyAlignment="1" applyBorder="1" applyFont="1">
      <alignment horizontal="left" shrinkToFit="0" wrapText="0"/>
    </xf>
    <xf borderId="3" fillId="0" fontId="16" numFmtId="0" xfId="0" applyAlignment="1" applyBorder="1" applyFont="1">
      <alignment horizontal="center" shrinkToFit="0" wrapText="0"/>
    </xf>
    <xf borderId="2" fillId="0" fontId="16" numFmtId="0" xfId="0" applyAlignment="1" applyBorder="1" applyFont="1">
      <alignment horizontal="center" shrinkToFit="0" wrapText="0"/>
    </xf>
    <xf borderId="4" fillId="0" fontId="18" numFmtId="0" xfId="0" applyAlignment="1" applyBorder="1" applyFont="1">
      <alignment horizontal="center" readingOrder="0"/>
    </xf>
    <xf borderId="0" fillId="2" fontId="19" numFmtId="0" xfId="0" applyAlignment="1" applyFont="1">
      <alignment shrinkToFit="0" wrapText="0"/>
    </xf>
    <xf borderId="4" fillId="2" fontId="24" numFmtId="0" xfId="0" applyAlignment="1" applyBorder="1" applyFont="1">
      <alignment horizontal="center" shrinkToFit="0" vertical="bottom" wrapText="0"/>
    </xf>
    <xf borderId="1" fillId="2" fontId="24" numFmtId="164" xfId="0" applyAlignment="1" applyBorder="1" applyFont="1" applyNumberFormat="1">
      <alignment horizontal="center" readingOrder="0" shrinkToFit="0" vertical="bottom" wrapText="0"/>
    </xf>
    <xf borderId="4" fillId="2" fontId="24" numFmtId="49" xfId="0" applyAlignment="1" applyBorder="1" applyFont="1" applyNumberFormat="1">
      <alignment horizontal="center" readingOrder="0" shrinkToFit="0" vertical="bottom" wrapText="0"/>
    </xf>
    <xf borderId="12" fillId="2" fontId="24" numFmtId="164" xfId="0" applyAlignment="1" applyBorder="1" applyFont="1" applyNumberFormat="1">
      <alignment horizontal="center" readingOrder="0" shrinkToFit="0" vertical="bottom" wrapText="0"/>
    </xf>
    <xf borderId="4" fillId="2" fontId="23" numFmtId="0" xfId="0" applyAlignment="1" applyBorder="1" applyFont="1">
      <alignment readingOrder="0" shrinkToFit="0" vertical="bottom" wrapText="0"/>
    </xf>
    <xf borderId="12" fillId="2" fontId="23" numFmtId="0" xfId="0" applyAlignment="1" applyBorder="1" applyFont="1">
      <alignment shrinkToFit="0" vertical="bottom" wrapText="0"/>
    </xf>
    <xf borderId="5" fillId="2" fontId="23" numFmtId="0" xfId="0" applyAlignment="1" applyBorder="1" applyFont="1">
      <alignment shrinkToFit="0" vertical="bottom" wrapText="0"/>
    </xf>
    <xf borderId="4" fillId="2" fontId="23" numFmtId="0" xfId="0" applyAlignment="1" applyBorder="1" applyFont="1">
      <alignment horizontal="left" readingOrder="0" vertical="bottom"/>
    </xf>
    <xf borderId="4" fillId="2" fontId="24" numFmtId="167" xfId="0" applyAlignment="1" applyBorder="1" applyFont="1" applyNumberFormat="1">
      <alignment horizontal="center" readingOrder="0" shrinkToFit="0" wrapText="0"/>
    </xf>
    <xf borderId="4" fillId="2" fontId="24" numFmtId="167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" t="s">
        <v>0</v>
      </c>
      <c r="B1" s="2"/>
      <c r="C1" s="1" t="s">
        <v>1</v>
      </c>
      <c r="D1" s="3"/>
      <c r="E1" s="3"/>
      <c r="F1" s="3"/>
      <c r="G1" s="3"/>
      <c r="H1" s="2"/>
      <c r="I1" s="4" t="s">
        <v>2</v>
      </c>
      <c r="J1" s="5"/>
      <c r="K1" s="6"/>
    </row>
    <row r="2">
      <c r="A2" s="7"/>
      <c r="B2" s="8"/>
      <c r="C2" s="7"/>
      <c r="H2" s="8"/>
      <c r="I2" s="4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4" t="s">
        <v>4</v>
      </c>
      <c r="J3" s="5"/>
      <c r="K3" s="12"/>
      <c r="L3" s="13"/>
      <c r="M3" s="13"/>
      <c r="N3" s="13"/>
      <c r="O3" s="13"/>
      <c r="P3" s="13"/>
    </row>
    <row r="4">
      <c r="A4" s="14" t="s">
        <v>5</v>
      </c>
      <c r="B4" s="4" t="s">
        <v>6</v>
      </c>
      <c r="C4" s="15"/>
      <c r="D4" s="15"/>
      <c r="E4" s="15"/>
      <c r="F4" s="5"/>
      <c r="G4" s="16"/>
      <c r="H4" s="5"/>
      <c r="I4" s="17"/>
      <c r="J4" s="17"/>
      <c r="K4" s="12"/>
      <c r="L4" s="13"/>
      <c r="M4" s="13"/>
      <c r="N4" s="13"/>
      <c r="O4" s="13"/>
      <c r="P4" s="13"/>
    </row>
    <row r="5">
      <c r="A5" s="18" t="s">
        <v>7</v>
      </c>
      <c r="B5" s="19" t="s">
        <v>8</v>
      </c>
      <c r="C5" s="15"/>
      <c r="D5" s="15"/>
      <c r="E5" s="5"/>
      <c r="F5" s="20" t="s">
        <v>9</v>
      </c>
      <c r="G5" s="21"/>
      <c r="H5" s="22"/>
      <c r="I5" s="22"/>
      <c r="J5" s="22"/>
      <c r="K5" s="12"/>
      <c r="L5" s="13"/>
      <c r="M5" s="13"/>
      <c r="N5" s="13"/>
      <c r="O5" s="13"/>
      <c r="P5" s="13"/>
    </row>
    <row r="6">
      <c r="A6" s="14" t="s">
        <v>10</v>
      </c>
      <c r="B6" s="19" t="s">
        <v>11</v>
      </c>
      <c r="C6" s="15"/>
      <c r="D6" s="15"/>
      <c r="E6" s="5"/>
      <c r="F6" s="23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24" t="s">
        <v>13</v>
      </c>
      <c r="B7" s="5"/>
      <c r="C7" s="24" t="s">
        <v>14</v>
      </c>
      <c r="D7" s="5"/>
      <c r="E7" s="25" t="s">
        <v>15</v>
      </c>
      <c r="F7" s="24" t="s">
        <v>16</v>
      </c>
      <c r="G7" s="5"/>
      <c r="H7" s="26" t="s">
        <v>17</v>
      </c>
      <c r="I7" s="24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25">
        <v>1.0</v>
      </c>
      <c r="B8" s="27" t="s">
        <v>18</v>
      </c>
      <c r="C8" s="28">
        <v>0.3472222222222222</v>
      </c>
      <c r="D8" s="5"/>
      <c r="E8" s="28">
        <v>0.5534722222222223</v>
      </c>
      <c r="F8" s="5"/>
      <c r="G8" s="28">
        <v>0.5986111111111111</v>
      </c>
      <c r="H8" s="5"/>
      <c r="I8" s="28">
        <v>0.7486111111111111</v>
      </c>
      <c r="J8" s="5"/>
      <c r="K8" s="12"/>
      <c r="L8" s="29">
        <v>8.0</v>
      </c>
      <c r="M8" s="13"/>
      <c r="N8" s="13"/>
      <c r="O8" s="13"/>
      <c r="P8" s="13"/>
      <c r="Q8" s="13"/>
      <c r="R8" s="13"/>
      <c r="S8" s="13"/>
    </row>
    <row r="9">
      <c r="A9" s="30">
        <v>2.0</v>
      </c>
      <c r="B9" s="27" t="s">
        <v>19</v>
      </c>
      <c r="C9" s="28">
        <v>0.3527777777777778</v>
      </c>
      <c r="D9" s="5"/>
      <c r="E9" s="28">
        <v>0.5541666666666667</v>
      </c>
      <c r="F9" s="5"/>
      <c r="G9" s="28">
        <v>0.5993055555555555</v>
      </c>
      <c r="H9" s="5"/>
      <c r="I9" s="28">
        <v>0.75</v>
      </c>
      <c r="J9" s="5"/>
      <c r="K9" s="12"/>
      <c r="L9" s="29">
        <v>0.0</v>
      </c>
      <c r="M9" s="31"/>
      <c r="N9" s="13"/>
      <c r="O9" s="13"/>
      <c r="P9" s="13"/>
      <c r="Q9" s="13"/>
      <c r="R9" s="13"/>
      <c r="S9" s="13"/>
    </row>
    <row r="10">
      <c r="A10" s="30">
        <v>3.0</v>
      </c>
      <c r="B10" s="32" t="s">
        <v>20</v>
      </c>
      <c r="C10" s="28">
        <v>0.32569444444444445</v>
      </c>
      <c r="D10" s="5"/>
      <c r="E10" s="28"/>
      <c r="F10" s="5"/>
      <c r="G10" s="28"/>
      <c r="H10" s="5"/>
      <c r="I10" s="28">
        <v>0.5</v>
      </c>
      <c r="J10" s="5"/>
      <c r="K10" s="12"/>
      <c r="L10" s="29">
        <v>11.0</v>
      </c>
      <c r="M10" s="31"/>
      <c r="N10" s="13"/>
      <c r="O10" s="13"/>
      <c r="P10" s="13"/>
      <c r="Q10" s="13"/>
      <c r="R10" s="13"/>
      <c r="S10" s="13"/>
    </row>
    <row r="11">
      <c r="A11" s="30">
        <v>4.0</v>
      </c>
      <c r="B11" s="33" t="s">
        <v>21</v>
      </c>
      <c r="C11" s="34" t="s">
        <v>22</v>
      </c>
      <c r="D11" s="15"/>
      <c r="E11" s="15"/>
      <c r="F11" s="15"/>
      <c r="G11" s="15"/>
      <c r="H11" s="15"/>
      <c r="I11" s="15"/>
      <c r="J11" s="5"/>
      <c r="K11" s="12"/>
      <c r="L11" s="29"/>
      <c r="M11" s="13"/>
      <c r="N11" s="13"/>
      <c r="O11" s="13"/>
      <c r="P11" s="13"/>
      <c r="Q11" s="13"/>
      <c r="R11" s="13"/>
      <c r="S11" s="13"/>
    </row>
    <row r="12">
      <c r="A12" s="30">
        <v>5.0</v>
      </c>
      <c r="B12" s="27" t="s">
        <v>23</v>
      </c>
      <c r="C12" s="28"/>
      <c r="D12" s="5"/>
      <c r="E12" s="28"/>
      <c r="F12" s="5"/>
      <c r="G12" s="28"/>
      <c r="H12" s="5"/>
      <c r="I12" s="28"/>
      <c r="J12" s="5"/>
      <c r="K12" s="12"/>
      <c r="L12" s="29"/>
      <c r="M12" s="13"/>
      <c r="N12" s="29"/>
      <c r="O12" s="35"/>
      <c r="P12" s="29"/>
      <c r="Q12" s="13"/>
      <c r="R12" s="13"/>
      <c r="S12" s="13"/>
    </row>
    <row r="13">
      <c r="A13" s="30">
        <v>6.0</v>
      </c>
      <c r="B13" s="32" t="s">
        <v>24</v>
      </c>
      <c r="C13" s="28">
        <v>0.3486111111111111</v>
      </c>
      <c r="D13" s="5"/>
      <c r="E13" s="28">
        <v>0.5604166666666667</v>
      </c>
      <c r="F13" s="5"/>
      <c r="G13" s="28">
        <v>0.6048611111111111</v>
      </c>
      <c r="H13" s="5"/>
      <c r="I13" s="28">
        <v>0.75</v>
      </c>
      <c r="J13" s="5"/>
      <c r="K13" s="12"/>
      <c r="L13" s="29">
        <v>9.0</v>
      </c>
      <c r="M13" s="29"/>
      <c r="N13" s="29"/>
      <c r="O13" s="29"/>
      <c r="P13" s="13"/>
      <c r="Q13" s="13"/>
      <c r="R13" s="13"/>
      <c r="S13" s="13"/>
    </row>
    <row r="14">
      <c r="A14" s="30">
        <v>7.0</v>
      </c>
      <c r="B14" s="33" t="s">
        <v>25</v>
      </c>
      <c r="C14" s="36">
        <v>0.3506944444444444</v>
      </c>
      <c r="D14" s="5"/>
      <c r="E14" s="36">
        <v>0.5708333333333333</v>
      </c>
      <c r="F14" s="5"/>
      <c r="G14" s="36">
        <v>0.6159722222222223</v>
      </c>
      <c r="H14" s="5"/>
      <c r="I14" s="36">
        <v>0.75</v>
      </c>
      <c r="J14" s="5"/>
      <c r="K14" s="12"/>
      <c r="L14" s="29">
        <v>0.0</v>
      </c>
      <c r="M14" s="13"/>
      <c r="N14" s="31"/>
      <c r="O14" s="35"/>
      <c r="P14" s="37"/>
      <c r="Q14" s="13"/>
      <c r="R14" s="13"/>
    </row>
    <row r="15">
      <c r="A15" s="30">
        <v>8.0</v>
      </c>
      <c r="B15" s="33" t="s">
        <v>18</v>
      </c>
      <c r="C15" s="36">
        <v>0.3506944444444444</v>
      </c>
      <c r="D15" s="5"/>
      <c r="E15" s="28">
        <v>0.5604166666666667</v>
      </c>
      <c r="F15" s="5"/>
      <c r="G15" s="28">
        <v>0.6055555555555555</v>
      </c>
      <c r="H15" s="5"/>
      <c r="I15" s="28">
        <v>0.7444444444444445</v>
      </c>
      <c r="J15" s="5"/>
      <c r="K15" s="38"/>
      <c r="L15" s="29">
        <v>0.0</v>
      </c>
      <c r="M15" s="13"/>
      <c r="N15" s="29"/>
      <c r="O15" s="35"/>
      <c r="P15" s="29"/>
      <c r="Q15" s="13"/>
      <c r="R15" s="13"/>
      <c r="S15" s="13"/>
    </row>
    <row r="16">
      <c r="A16" s="30">
        <v>9.0</v>
      </c>
      <c r="B16" s="27" t="s">
        <v>26</v>
      </c>
      <c r="C16" s="28">
        <v>0.3527777777777778</v>
      </c>
      <c r="D16" s="5"/>
      <c r="E16" s="28">
        <v>0.5541666666666667</v>
      </c>
      <c r="F16" s="5"/>
      <c r="G16" s="28">
        <v>0.6027777777777777</v>
      </c>
      <c r="H16" s="5"/>
      <c r="I16" s="28">
        <v>0.7430555555555556</v>
      </c>
      <c r="J16" s="5"/>
      <c r="K16" s="12"/>
      <c r="L16" s="29">
        <v>-13.0</v>
      </c>
      <c r="M16" s="13"/>
      <c r="N16" s="31" t="s">
        <v>27</v>
      </c>
      <c r="O16" s="35">
        <v>0.019444444444444445</v>
      </c>
      <c r="P16" s="37">
        <v>-0.007638888888888889</v>
      </c>
      <c r="Q16" s="13"/>
      <c r="R16" s="13"/>
      <c r="S16" s="13"/>
    </row>
    <row r="17">
      <c r="A17" s="30">
        <v>10.0</v>
      </c>
      <c r="B17" s="32" t="s">
        <v>20</v>
      </c>
      <c r="C17" s="36"/>
      <c r="D17" s="5"/>
      <c r="E17" s="36"/>
      <c r="F17" s="5"/>
      <c r="G17" s="36"/>
      <c r="H17" s="5"/>
      <c r="I17" s="36"/>
      <c r="J17" s="5"/>
      <c r="K17" s="12"/>
      <c r="L17" s="29"/>
      <c r="M17" s="29"/>
      <c r="N17" s="31"/>
      <c r="O17" s="35"/>
      <c r="P17" s="13"/>
      <c r="Q17" s="13"/>
      <c r="R17" s="13"/>
      <c r="S17" s="13"/>
    </row>
    <row r="18">
      <c r="A18" s="30">
        <v>11.0</v>
      </c>
      <c r="B18" s="33" t="s">
        <v>28</v>
      </c>
      <c r="C18" s="28"/>
      <c r="D18" s="5"/>
      <c r="E18" s="28"/>
      <c r="F18" s="5"/>
      <c r="G18" s="28"/>
      <c r="H18" s="5"/>
      <c r="I18" s="28"/>
      <c r="J18" s="5"/>
      <c r="K18" s="12"/>
      <c r="M18" s="29"/>
      <c r="N18" s="31"/>
      <c r="O18" s="35"/>
      <c r="P18" s="29"/>
      <c r="Q18" s="13"/>
      <c r="R18" s="13"/>
    </row>
    <row r="19">
      <c r="A19" s="30">
        <v>12.0</v>
      </c>
      <c r="B19" s="27" t="s">
        <v>29</v>
      </c>
      <c r="C19" s="28"/>
      <c r="D19" s="5"/>
      <c r="E19" s="28"/>
      <c r="F19" s="5"/>
      <c r="G19" s="28"/>
      <c r="H19" s="5"/>
      <c r="I19" s="28"/>
      <c r="J19" s="5"/>
      <c r="K19" s="12"/>
      <c r="L19" s="39"/>
      <c r="M19" s="29"/>
      <c r="N19" s="31"/>
      <c r="O19" s="29"/>
      <c r="P19" s="29"/>
      <c r="Q19" s="13"/>
      <c r="R19" s="13"/>
      <c r="S19" s="13"/>
    </row>
    <row r="20">
      <c r="A20" s="30">
        <v>13.0</v>
      </c>
      <c r="B20" s="32" t="s">
        <v>24</v>
      </c>
      <c r="C20" s="36"/>
      <c r="D20" s="5"/>
      <c r="E20" s="36"/>
      <c r="F20" s="5"/>
      <c r="G20" s="36"/>
      <c r="H20" s="5"/>
      <c r="I20" s="36"/>
      <c r="J20" s="5"/>
      <c r="K20" s="12"/>
      <c r="L20" s="29"/>
      <c r="M20" s="13"/>
      <c r="N20" s="31"/>
      <c r="O20" s="35"/>
      <c r="P20" s="29"/>
      <c r="Q20" s="13"/>
      <c r="R20" s="13"/>
      <c r="S20" s="29"/>
    </row>
    <row r="21">
      <c r="A21" s="30">
        <v>14.0</v>
      </c>
      <c r="B21" s="33" t="s">
        <v>25</v>
      </c>
      <c r="C21" s="36"/>
      <c r="D21" s="5"/>
      <c r="E21" s="36"/>
      <c r="F21" s="5"/>
      <c r="G21" s="36"/>
      <c r="H21" s="5"/>
      <c r="I21" s="36"/>
      <c r="J21" s="5"/>
      <c r="K21" s="12"/>
      <c r="L21" s="29"/>
      <c r="M21" s="13"/>
      <c r="N21" s="29"/>
      <c r="O21" s="35"/>
      <c r="P21" s="13"/>
      <c r="Q21" s="13"/>
      <c r="R21" s="13"/>
      <c r="S21" s="29"/>
    </row>
    <row r="22">
      <c r="A22" s="30">
        <v>15.0</v>
      </c>
      <c r="B22" s="33" t="s">
        <v>18</v>
      </c>
      <c r="C22" s="36"/>
      <c r="D22" s="5"/>
      <c r="E22" s="36"/>
      <c r="F22" s="5"/>
      <c r="G22" s="36"/>
      <c r="H22" s="5"/>
      <c r="I22" s="36"/>
      <c r="J22" s="5"/>
      <c r="K22" s="12"/>
      <c r="L22" s="29"/>
      <c r="M22" s="29"/>
      <c r="N22" s="31"/>
      <c r="O22" s="29"/>
      <c r="P22" s="13"/>
      <c r="Q22" s="13"/>
      <c r="R22" s="13"/>
      <c r="S22" s="13"/>
    </row>
    <row r="23">
      <c r="A23" s="30">
        <v>16.0</v>
      </c>
      <c r="B23" s="32" t="s">
        <v>26</v>
      </c>
      <c r="C23" s="36"/>
      <c r="D23" s="5"/>
      <c r="E23" s="28"/>
      <c r="F23" s="5"/>
      <c r="G23" s="28"/>
      <c r="H23" s="5"/>
      <c r="I23" s="28"/>
      <c r="J23" s="5"/>
      <c r="K23" s="12"/>
      <c r="L23" s="29"/>
      <c r="M23" s="13"/>
      <c r="N23" s="29"/>
      <c r="O23" s="35"/>
      <c r="P23" s="13"/>
      <c r="Q23" s="13"/>
      <c r="R23" s="13"/>
      <c r="S23" s="29"/>
    </row>
    <row r="24">
      <c r="A24" s="30">
        <v>17.0</v>
      </c>
      <c r="B24" s="33" t="s">
        <v>20</v>
      </c>
      <c r="C24" s="28"/>
      <c r="D24" s="5"/>
      <c r="E24" s="28"/>
      <c r="F24" s="5"/>
      <c r="G24" s="28"/>
      <c r="H24" s="5"/>
      <c r="I24" s="28"/>
      <c r="J24" s="5"/>
      <c r="K24" s="12"/>
      <c r="L24" s="29"/>
      <c r="M24" s="13"/>
      <c r="O24" s="35"/>
      <c r="P24" s="29"/>
      <c r="Q24" s="13"/>
      <c r="R24" s="13"/>
      <c r="S24" s="13"/>
    </row>
    <row r="25">
      <c r="A25" s="30">
        <v>18.0</v>
      </c>
      <c r="B25" s="33" t="s">
        <v>21</v>
      </c>
      <c r="C25" s="36"/>
      <c r="D25" s="5"/>
      <c r="E25" s="28"/>
      <c r="F25" s="5"/>
      <c r="G25" s="28"/>
      <c r="H25" s="5"/>
      <c r="I25" s="28"/>
      <c r="J25" s="5"/>
      <c r="K25" s="12"/>
      <c r="L25" s="29"/>
      <c r="M25" s="13"/>
      <c r="N25" s="31"/>
      <c r="O25" s="35"/>
      <c r="P25" s="29"/>
      <c r="Q25" s="13"/>
      <c r="R25" s="13"/>
      <c r="S25" s="13"/>
    </row>
    <row r="26">
      <c r="A26" s="30">
        <v>19.0</v>
      </c>
      <c r="B26" s="32" t="s">
        <v>30</v>
      </c>
      <c r="C26" s="28"/>
      <c r="D26" s="5"/>
      <c r="E26" s="28"/>
      <c r="F26" s="5"/>
      <c r="G26" s="28"/>
      <c r="H26" s="5"/>
      <c r="I26" s="28"/>
      <c r="J26" s="5"/>
      <c r="K26" s="40"/>
      <c r="L26" s="29"/>
      <c r="M26" s="29"/>
      <c r="N26" s="31"/>
      <c r="O26" s="35"/>
      <c r="P26" s="29"/>
      <c r="Q26" s="13"/>
      <c r="R26" s="13"/>
      <c r="S26" s="29"/>
    </row>
    <row r="27">
      <c r="A27" s="30">
        <v>20.0</v>
      </c>
      <c r="B27" s="33" t="s">
        <v>24</v>
      </c>
      <c r="C27" s="36"/>
      <c r="D27" s="5"/>
      <c r="E27" s="36"/>
      <c r="F27" s="5"/>
      <c r="G27" s="36"/>
      <c r="H27" s="5"/>
      <c r="I27" s="36"/>
      <c r="J27" s="5"/>
      <c r="K27" s="12"/>
      <c r="L27" s="29"/>
      <c r="M27" s="13"/>
      <c r="N27" s="13"/>
      <c r="O27" s="13"/>
      <c r="P27" s="13"/>
      <c r="Q27" s="13"/>
      <c r="R27" s="13"/>
      <c r="S27" s="13"/>
    </row>
    <row r="28">
      <c r="A28" s="30">
        <v>21.0</v>
      </c>
      <c r="B28" s="33" t="s">
        <v>25</v>
      </c>
      <c r="C28" s="28"/>
      <c r="D28" s="5"/>
      <c r="E28" s="28"/>
      <c r="F28" s="5"/>
      <c r="G28" s="28"/>
      <c r="H28" s="5"/>
      <c r="I28" s="28"/>
      <c r="J28" s="5"/>
      <c r="K28" s="12"/>
      <c r="L28" s="29"/>
      <c r="M28" s="29"/>
      <c r="N28" s="29"/>
      <c r="O28" s="35"/>
      <c r="P28" s="13"/>
      <c r="Q28" s="13"/>
      <c r="R28" s="13"/>
      <c r="S28" s="29"/>
    </row>
    <row r="29">
      <c r="A29" s="30">
        <v>22.0</v>
      </c>
      <c r="B29" s="33" t="s">
        <v>18</v>
      </c>
      <c r="C29" s="28"/>
      <c r="D29" s="5"/>
      <c r="E29" s="28"/>
      <c r="F29" s="5"/>
      <c r="G29" s="28"/>
      <c r="H29" s="5"/>
      <c r="I29" s="28"/>
      <c r="J29" s="5"/>
      <c r="K29" s="12"/>
      <c r="L29" s="29"/>
      <c r="M29" s="13"/>
      <c r="N29" s="29"/>
      <c r="O29" s="35"/>
      <c r="P29" s="13"/>
      <c r="Q29" s="13"/>
      <c r="R29" s="13"/>
      <c r="S29" s="29"/>
    </row>
    <row r="30">
      <c r="A30" s="30">
        <v>23.0</v>
      </c>
      <c r="B30" s="32" t="s">
        <v>26</v>
      </c>
      <c r="C30" s="36"/>
      <c r="D30" s="5"/>
      <c r="E30" s="36"/>
      <c r="F30" s="5"/>
      <c r="G30" s="36"/>
      <c r="H30" s="5"/>
      <c r="I30" s="36"/>
      <c r="J30" s="5"/>
      <c r="K30" s="12"/>
      <c r="L30" s="29"/>
      <c r="M30" s="13"/>
      <c r="N30" s="31"/>
      <c r="O30" s="41"/>
      <c r="Q30" s="13"/>
      <c r="R30" s="13"/>
      <c r="S30" s="13"/>
    </row>
    <row r="31">
      <c r="A31" s="30">
        <v>24.0</v>
      </c>
      <c r="B31" s="33" t="s">
        <v>20</v>
      </c>
      <c r="C31" s="36"/>
      <c r="D31" s="5"/>
      <c r="E31" s="36"/>
      <c r="F31" s="5"/>
      <c r="G31" s="42"/>
      <c r="H31" s="5"/>
      <c r="I31" s="36"/>
      <c r="J31" s="5"/>
      <c r="K31" s="12"/>
      <c r="L31" s="29"/>
      <c r="M31" s="13"/>
      <c r="N31" s="13"/>
      <c r="O31" s="13"/>
      <c r="P31" s="13"/>
      <c r="Q31" s="13"/>
      <c r="R31" s="13"/>
      <c r="S31" s="13"/>
    </row>
    <row r="32">
      <c r="A32" s="30">
        <v>25.0</v>
      </c>
      <c r="B32" s="33" t="s">
        <v>28</v>
      </c>
      <c r="C32" s="36"/>
      <c r="D32" s="5"/>
      <c r="E32" s="36"/>
      <c r="F32" s="5"/>
      <c r="G32" s="36"/>
      <c r="H32" s="5"/>
      <c r="I32" s="36"/>
      <c r="J32" s="5"/>
      <c r="K32" s="12"/>
      <c r="M32" s="13"/>
      <c r="N32" s="31"/>
      <c r="O32" s="35"/>
      <c r="P32" s="29"/>
      <c r="Q32" s="13"/>
      <c r="R32" s="13"/>
      <c r="S32" s="13"/>
    </row>
    <row r="33">
      <c r="A33" s="30">
        <v>26.0</v>
      </c>
      <c r="B33" s="33" t="s">
        <v>30</v>
      </c>
      <c r="C33" s="36"/>
      <c r="D33" s="5"/>
      <c r="E33" s="36"/>
      <c r="F33" s="5"/>
      <c r="G33" s="36"/>
      <c r="H33" s="5"/>
      <c r="I33" s="36"/>
      <c r="J33" s="5"/>
      <c r="K33" s="12"/>
      <c r="L33" s="29"/>
      <c r="M33" s="29"/>
      <c r="N33" s="31"/>
      <c r="O33" s="43"/>
      <c r="P33" s="29"/>
      <c r="Q33" s="13"/>
      <c r="R33" s="13"/>
      <c r="S33" s="13"/>
    </row>
    <row r="34">
      <c r="A34" s="30">
        <v>27.0</v>
      </c>
      <c r="B34" s="33" t="s">
        <v>24</v>
      </c>
      <c r="C34" s="36"/>
      <c r="D34" s="5"/>
      <c r="E34" s="36"/>
      <c r="F34" s="5"/>
      <c r="G34" s="36"/>
      <c r="H34" s="5"/>
      <c r="I34" s="36"/>
      <c r="J34" s="5"/>
      <c r="K34" s="12"/>
      <c r="L34" s="29"/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30">
        <v>28.0</v>
      </c>
      <c r="B35" s="33" t="s">
        <v>25</v>
      </c>
      <c r="C35" s="36"/>
      <c r="D35" s="5"/>
      <c r="E35" s="28"/>
      <c r="F35" s="5"/>
      <c r="G35" s="28"/>
      <c r="H35" s="5"/>
      <c r="I35" s="28"/>
      <c r="J35" s="5"/>
      <c r="K35" s="13"/>
      <c r="L35" s="29"/>
      <c r="M35" s="46"/>
      <c r="N35" s="31"/>
      <c r="O35" s="35"/>
      <c r="P35" s="29"/>
      <c r="Q35" s="13"/>
      <c r="R35" s="13"/>
      <c r="S35" s="29"/>
      <c r="T35" s="13"/>
      <c r="U35" s="13"/>
      <c r="V35" s="13"/>
    </row>
    <row r="36">
      <c r="A36" s="30">
        <v>29.0</v>
      </c>
      <c r="B36" s="33" t="s">
        <v>18</v>
      </c>
      <c r="C36" s="36"/>
      <c r="D36" s="5"/>
      <c r="E36" s="36"/>
      <c r="F36" s="5"/>
      <c r="G36" s="36"/>
      <c r="H36" s="5"/>
      <c r="I36" s="36"/>
      <c r="J36" s="5"/>
      <c r="K36" s="6"/>
      <c r="L36" s="13"/>
      <c r="M36" s="13"/>
      <c r="N36" s="31"/>
      <c r="O36" s="43"/>
      <c r="P36" s="13"/>
      <c r="Q36" s="13"/>
      <c r="R36" s="13"/>
      <c r="S36" s="13"/>
    </row>
    <row r="37">
      <c r="A37" s="30">
        <v>30.0</v>
      </c>
      <c r="B37" s="33" t="s">
        <v>26</v>
      </c>
      <c r="C37" s="36"/>
      <c r="D37" s="5"/>
      <c r="E37" s="36"/>
      <c r="F37" s="5"/>
      <c r="G37" s="36"/>
      <c r="H37" s="5"/>
      <c r="I37" s="36"/>
      <c r="J37" s="5"/>
      <c r="K37" s="6"/>
      <c r="L37" s="29"/>
      <c r="M37" s="13"/>
      <c r="N37" s="13"/>
      <c r="O37" s="13"/>
      <c r="P37" s="13"/>
      <c r="Q37" s="13"/>
      <c r="R37" s="13"/>
      <c r="S37" s="13"/>
    </row>
    <row r="38">
      <c r="A38" s="47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M38" s="13"/>
      <c r="N38" s="13"/>
      <c r="O38" s="13"/>
      <c r="P38" s="13"/>
      <c r="Q38" s="13"/>
      <c r="R38" s="13"/>
      <c r="S38" s="13"/>
    </row>
    <row r="39">
      <c r="A39" s="48" t="s">
        <v>32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M39" s="13"/>
      <c r="N39" s="13"/>
      <c r="O39" s="13"/>
      <c r="P39" s="13"/>
      <c r="Q39" s="13"/>
      <c r="R39" s="13"/>
      <c r="S39" s="13"/>
    </row>
    <row r="40">
      <c r="A40" s="49" t="s">
        <v>33</v>
      </c>
      <c r="B40" s="15"/>
      <c r="C40" s="15"/>
      <c r="D40" s="15"/>
      <c r="E40" s="15"/>
      <c r="F40" s="15"/>
      <c r="G40" s="15"/>
      <c r="H40" s="15"/>
      <c r="I40" s="15"/>
      <c r="J40" s="5"/>
    </row>
    <row r="41">
      <c r="A41" s="50" t="s">
        <v>34</v>
      </c>
      <c r="B41" s="3"/>
      <c r="C41" s="3"/>
      <c r="D41" s="3"/>
      <c r="E41" s="3"/>
      <c r="F41" s="3"/>
      <c r="G41" s="3"/>
      <c r="H41" s="3"/>
      <c r="I41" s="3"/>
      <c r="J41" s="2"/>
      <c r="L41" s="41"/>
    </row>
    <row r="42">
      <c r="A42" s="51" t="s">
        <v>35</v>
      </c>
      <c r="B42" s="52"/>
      <c r="C42" s="52"/>
      <c r="D42" s="52"/>
      <c r="E42" s="52"/>
      <c r="F42" s="52"/>
      <c r="G42" s="3"/>
      <c r="H42" s="52"/>
      <c r="I42" s="52"/>
      <c r="J42" s="53"/>
    </row>
    <row r="43">
      <c r="A43" s="54" t="s">
        <v>36</v>
      </c>
      <c r="B43" s="55"/>
      <c r="C43" s="56" t="s">
        <v>37</v>
      </c>
      <c r="D43" s="55"/>
      <c r="F43" s="55"/>
      <c r="H43" s="55"/>
      <c r="I43" s="55"/>
      <c r="J43" s="57"/>
    </row>
    <row r="44">
      <c r="A44" s="58"/>
      <c r="B44" s="59"/>
      <c r="C44" s="59"/>
      <c r="D44" s="59"/>
      <c r="E44" s="11"/>
      <c r="F44" s="59"/>
      <c r="G44" s="11"/>
      <c r="H44" s="59"/>
      <c r="I44" s="59"/>
      <c r="J44" s="60"/>
    </row>
  </sheetData>
  <mergeCells count="140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E12:F12"/>
    <mergeCell ref="G12:H12"/>
    <mergeCell ref="C9:D9"/>
    <mergeCell ref="C10:D10"/>
    <mergeCell ref="E10:F10"/>
    <mergeCell ref="G10:H10"/>
    <mergeCell ref="I10:J10"/>
    <mergeCell ref="C11:J11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4:E44"/>
    <mergeCell ref="F44:G44"/>
    <mergeCell ref="A38:J38"/>
    <mergeCell ref="A39:J39"/>
    <mergeCell ref="A40:J40"/>
    <mergeCell ref="A41:J41"/>
    <mergeCell ref="F42:G42"/>
    <mergeCell ref="D43:E43"/>
    <mergeCell ref="F43:G43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C36:D36"/>
    <mergeCell ref="C37:D37"/>
    <mergeCell ref="E37:F37"/>
    <mergeCell ref="G37:H37"/>
    <mergeCell ref="I37:J37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9" t="s">
        <v>11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25">
        <v>1.0</v>
      </c>
      <c r="B8" s="27" t="s">
        <v>18</v>
      </c>
      <c r="C8" s="28">
        <v>0.35</v>
      </c>
      <c r="D8" s="5"/>
      <c r="E8" s="28">
        <v>0.49930555555555556</v>
      </c>
      <c r="F8" s="5"/>
      <c r="G8" s="28">
        <v>0.5444444444444444</v>
      </c>
      <c r="H8" s="5"/>
      <c r="I8" s="28">
        <v>0.7479166666666667</v>
      </c>
      <c r="J8" s="5"/>
      <c r="K8" s="12"/>
      <c r="L8" s="83">
        <f t="shared" ref="L8:L10" si="1">(E8-C8)+(I8-G8)</f>
        <v>0.3527777778</v>
      </c>
      <c r="M8" s="83">
        <f t="shared" ref="M8:M9" si="2">IF((L8-$M$3)&gt;$M$4,L8-$M$3,0)</f>
        <v>0.01944444444</v>
      </c>
      <c r="N8" s="84">
        <v>0.0</v>
      </c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30">
        <v>2.0</v>
      </c>
      <c r="B9" s="27" t="s">
        <v>19</v>
      </c>
      <c r="C9" s="28">
        <v>0.3527777777777778</v>
      </c>
      <c r="D9" s="5"/>
      <c r="E9" s="28">
        <v>0.5034722222222222</v>
      </c>
      <c r="F9" s="5"/>
      <c r="G9" s="28">
        <v>0.54375</v>
      </c>
      <c r="H9" s="5"/>
      <c r="I9" s="28">
        <v>0.75</v>
      </c>
      <c r="J9" s="5"/>
      <c r="K9" s="86"/>
      <c r="L9" s="83">
        <f t="shared" si="1"/>
        <v>0.3569444444</v>
      </c>
      <c r="M9" s="83">
        <f t="shared" si="2"/>
        <v>0.02361111111</v>
      </c>
      <c r="N9" s="84">
        <v>0.0</v>
      </c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30">
        <v>3.0</v>
      </c>
      <c r="B10" s="32" t="s">
        <v>20</v>
      </c>
      <c r="C10" s="36">
        <v>0.32569444444444445</v>
      </c>
      <c r="D10" s="5"/>
      <c r="E10" s="36"/>
      <c r="F10" s="5"/>
      <c r="G10" s="36"/>
      <c r="H10" s="5"/>
      <c r="I10" s="36">
        <v>0.4986111111111111</v>
      </c>
      <c r="J10" s="5"/>
      <c r="K10" s="12"/>
      <c r="L10" s="83">
        <f t="shared" si="1"/>
        <v>0.1729166667</v>
      </c>
      <c r="M10" s="87">
        <v>0.00625</v>
      </c>
      <c r="N10" s="84">
        <v>0.0</v>
      </c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30">
        <v>4.0</v>
      </c>
      <c r="B11" s="33" t="s">
        <v>21</v>
      </c>
      <c r="C11" s="88" t="s">
        <v>45</v>
      </c>
      <c r="D11" s="15"/>
      <c r="E11" s="15"/>
      <c r="F11" s="15"/>
      <c r="G11" s="15"/>
      <c r="H11" s="15"/>
      <c r="I11" s="15"/>
      <c r="J11" s="5"/>
      <c r="K11" s="12"/>
      <c r="L11" s="89">
        <v>0.0</v>
      </c>
      <c r="M11" s="89">
        <v>0.0</v>
      </c>
      <c r="N11" s="89">
        <v>0.0</v>
      </c>
      <c r="O11" s="13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30">
        <v>5.0</v>
      </c>
      <c r="B12" s="27" t="s">
        <v>23</v>
      </c>
      <c r="C12" s="28"/>
      <c r="D12" s="5"/>
      <c r="E12" s="28"/>
      <c r="F12" s="5"/>
      <c r="G12" s="28"/>
      <c r="H12" s="5"/>
      <c r="I12" s="28"/>
      <c r="J12" s="5"/>
      <c r="K12" s="12"/>
      <c r="L12" s="90">
        <f t="shared" ref="L12:L22" si="3">(E12-C12)+(I12-G12)</f>
        <v>0</v>
      </c>
      <c r="M12" s="91">
        <f t="shared" ref="M12:M20" si="4">IF((L12-$M$3)&gt;$M$4,L12-$M$3,0)</f>
        <v>0</v>
      </c>
      <c r="N12" s="89">
        <v>0.0</v>
      </c>
      <c r="O12" s="13"/>
      <c r="R12" s="29"/>
      <c r="S12" s="29"/>
      <c r="T12" s="13"/>
      <c r="U12" s="13"/>
      <c r="V12" s="13"/>
      <c r="W12" s="13"/>
      <c r="X12" s="13"/>
    </row>
    <row r="13">
      <c r="A13" s="30">
        <v>6.0</v>
      </c>
      <c r="B13" s="32" t="s">
        <v>24</v>
      </c>
      <c r="C13" s="28">
        <v>0.3541666666666667</v>
      </c>
      <c r="D13" s="5"/>
      <c r="E13" s="28">
        <v>0.5416666666666666</v>
      </c>
      <c r="F13" s="5"/>
      <c r="G13" s="28">
        <v>0.5875</v>
      </c>
      <c r="H13" s="5"/>
      <c r="I13" s="28">
        <v>0.7486111111111111</v>
      </c>
      <c r="J13" s="5"/>
      <c r="K13" s="12"/>
      <c r="L13" s="90">
        <f t="shared" si="3"/>
        <v>0.3486111111</v>
      </c>
      <c r="M13" s="92">
        <f t="shared" si="4"/>
        <v>0.01527777778</v>
      </c>
      <c r="N13" s="91">
        <f>+IF(($M$3-L13)&gt;$M$4,$M$3-L13,0)</f>
        <v>0</v>
      </c>
      <c r="O13" s="31"/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30">
        <v>7.0</v>
      </c>
      <c r="B14" s="33" t="s">
        <v>25</v>
      </c>
      <c r="C14" s="36">
        <v>0.3506944444444444</v>
      </c>
      <c r="D14" s="5"/>
      <c r="E14" s="36">
        <v>0.5402777777777777</v>
      </c>
      <c r="F14" s="5"/>
      <c r="G14" s="36">
        <v>0.5784722222222223</v>
      </c>
      <c r="H14" s="5"/>
      <c r="I14" s="36">
        <v>0.75</v>
      </c>
      <c r="J14" s="5"/>
      <c r="K14" s="12"/>
      <c r="L14" s="83">
        <f t="shared" si="3"/>
        <v>0.3611111111</v>
      </c>
      <c r="M14" s="83">
        <f t="shared" si="4"/>
        <v>0.02777777778</v>
      </c>
      <c r="N14" s="84">
        <v>0.0</v>
      </c>
      <c r="O14" s="13"/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30">
        <v>8.0</v>
      </c>
      <c r="B15" s="33" t="s">
        <v>18</v>
      </c>
      <c r="C15" s="36">
        <v>0.3541666666666667</v>
      </c>
      <c r="D15" s="5"/>
      <c r="E15" s="28">
        <v>0.5034722222222222</v>
      </c>
      <c r="F15" s="5"/>
      <c r="G15" s="28">
        <v>0.5659722222222222</v>
      </c>
      <c r="H15" s="5"/>
      <c r="I15" s="28">
        <v>0.7444444444444445</v>
      </c>
      <c r="J15" s="5"/>
      <c r="K15" s="12"/>
      <c r="L15" s="90">
        <f t="shared" si="3"/>
        <v>0.3277777778</v>
      </c>
      <c r="M15" s="91">
        <f t="shared" si="4"/>
        <v>0</v>
      </c>
      <c r="N15" s="90">
        <v>0.005555555555555556</v>
      </c>
      <c r="O15" s="13"/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30">
        <v>9.0</v>
      </c>
      <c r="B16" s="27" t="s">
        <v>26</v>
      </c>
      <c r="C16" s="28">
        <v>0.3527777777777778</v>
      </c>
      <c r="D16" s="5"/>
      <c r="E16" s="28">
        <v>0.5541666666666667</v>
      </c>
      <c r="F16" s="5"/>
      <c r="G16" s="28">
        <v>0.5895833333333333</v>
      </c>
      <c r="H16" s="5"/>
      <c r="I16" s="28">
        <v>0.7423611111111111</v>
      </c>
      <c r="J16" s="5"/>
      <c r="K16" s="12"/>
      <c r="L16" s="90">
        <f t="shared" si="3"/>
        <v>0.3541666667</v>
      </c>
      <c r="M16" s="92">
        <f t="shared" si="4"/>
        <v>0.02083333333</v>
      </c>
      <c r="N16" s="91">
        <f t="shared" ref="N16:N20" si="5">+IF(($M$3-L16)&gt;$M$4,$M$3-L16,0)</f>
        <v>0</v>
      </c>
      <c r="O16" s="13"/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30">
        <v>10.0</v>
      </c>
      <c r="B17" s="32" t="s">
        <v>20</v>
      </c>
      <c r="C17" s="36">
        <v>0.3472222222222222</v>
      </c>
      <c r="D17" s="5"/>
      <c r="E17" s="36">
        <v>0.5645833333333333</v>
      </c>
      <c r="F17" s="5"/>
      <c r="G17" s="36">
        <v>0.5979166666666667</v>
      </c>
      <c r="H17" s="5"/>
      <c r="I17" s="36"/>
      <c r="J17" s="5"/>
      <c r="K17" s="46"/>
      <c r="L17" s="90">
        <f t="shared" si="3"/>
        <v>-0.3805555556</v>
      </c>
      <c r="M17" s="91">
        <f t="shared" si="4"/>
        <v>0</v>
      </c>
      <c r="N17" s="92">
        <f t="shared" si="5"/>
        <v>0.7138888889</v>
      </c>
      <c r="O17" s="29"/>
      <c r="R17" s="35">
        <v>0.05138888888888889</v>
      </c>
      <c r="S17" s="29"/>
      <c r="T17" s="13"/>
      <c r="U17" s="13"/>
      <c r="V17" s="13"/>
      <c r="W17" s="13"/>
      <c r="X17" s="13"/>
    </row>
    <row r="18">
      <c r="A18" s="30">
        <v>11.0</v>
      </c>
      <c r="B18" s="33" t="s">
        <v>28</v>
      </c>
      <c r="C18" s="28"/>
      <c r="D18" s="5"/>
      <c r="E18" s="28"/>
      <c r="F18" s="5"/>
      <c r="G18" s="28"/>
      <c r="H18" s="5"/>
      <c r="I18" s="28"/>
      <c r="J18" s="5"/>
      <c r="K18" s="12"/>
      <c r="L18" s="90">
        <f t="shared" si="3"/>
        <v>0</v>
      </c>
      <c r="M18" s="91">
        <f t="shared" si="4"/>
        <v>0</v>
      </c>
      <c r="N18" s="92">
        <f t="shared" si="5"/>
        <v>0.3333333333</v>
      </c>
      <c r="O18" s="29"/>
      <c r="R18" s="29">
        <v>0.0</v>
      </c>
      <c r="S18" s="29"/>
      <c r="T18" s="29"/>
      <c r="U18" s="37"/>
      <c r="V18" s="35"/>
      <c r="W18" s="13"/>
      <c r="X18" s="13"/>
    </row>
    <row r="19">
      <c r="A19" s="30">
        <v>12.0</v>
      </c>
      <c r="B19" s="27" t="s">
        <v>29</v>
      </c>
      <c r="C19" s="28"/>
      <c r="D19" s="5"/>
      <c r="E19" s="28"/>
      <c r="F19" s="5"/>
      <c r="G19" s="28"/>
      <c r="H19" s="5"/>
      <c r="I19" s="28"/>
      <c r="J19" s="5"/>
      <c r="K19" s="12"/>
      <c r="L19" s="90">
        <f t="shared" si="3"/>
        <v>0</v>
      </c>
      <c r="M19" s="91">
        <f t="shared" si="4"/>
        <v>0</v>
      </c>
      <c r="N19" s="92">
        <f t="shared" si="5"/>
        <v>0.3333333333</v>
      </c>
      <c r="O19" s="13"/>
      <c r="R19" s="29"/>
      <c r="S19" s="29"/>
      <c r="T19" s="29"/>
      <c r="U19" s="37"/>
      <c r="V19" s="35"/>
      <c r="W19" s="13"/>
      <c r="X19" s="13"/>
    </row>
    <row r="20">
      <c r="A20" s="30">
        <v>13.0</v>
      </c>
      <c r="B20" s="32" t="s">
        <v>24</v>
      </c>
      <c r="C20" s="36"/>
      <c r="D20" s="5"/>
      <c r="E20" s="36"/>
      <c r="F20" s="5"/>
      <c r="G20" s="36"/>
      <c r="H20" s="5"/>
      <c r="I20" s="36"/>
      <c r="J20" s="5"/>
      <c r="K20" s="12"/>
      <c r="L20" s="90">
        <f t="shared" si="3"/>
        <v>0</v>
      </c>
      <c r="M20" s="91">
        <f t="shared" si="4"/>
        <v>0</v>
      </c>
      <c r="N20" s="92">
        <f t="shared" si="5"/>
        <v>0.3333333333</v>
      </c>
      <c r="O20" s="29"/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30">
        <v>14.0</v>
      </c>
      <c r="B21" s="33" t="s">
        <v>25</v>
      </c>
      <c r="C21" s="36"/>
      <c r="D21" s="5"/>
      <c r="E21" s="36"/>
      <c r="F21" s="5"/>
      <c r="G21" s="36"/>
      <c r="H21" s="5"/>
      <c r="I21" s="36"/>
      <c r="J21" s="5"/>
      <c r="K21" s="46"/>
      <c r="L21" s="90">
        <f t="shared" si="3"/>
        <v>0</v>
      </c>
      <c r="M21" s="90">
        <v>0.0</v>
      </c>
      <c r="N21" s="89">
        <v>0.0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30">
        <v>15.0</v>
      </c>
      <c r="B22" s="33" t="s">
        <v>18</v>
      </c>
      <c r="C22" s="36"/>
      <c r="D22" s="5"/>
      <c r="E22" s="36"/>
      <c r="F22" s="5"/>
      <c r="G22" s="36"/>
      <c r="H22" s="5"/>
      <c r="I22" s="36"/>
      <c r="J22" s="5"/>
      <c r="K22" s="12"/>
      <c r="L22" s="90">
        <f t="shared" si="3"/>
        <v>0</v>
      </c>
      <c r="M22" s="91">
        <f t="shared" ref="M22:M27" si="6">IF((L22-$M$3)&gt;$M$4,L22-$M$3,0)</f>
        <v>0</v>
      </c>
      <c r="N22" s="89">
        <v>0.0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30">
        <v>16.0</v>
      </c>
      <c r="B23" s="32" t="s">
        <v>26</v>
      </c>
      <c r="C23" s="36"/>
      <c r="D23" s="5"/>
      <c r="E23" s="28"/>
      <c r="F23" s="5"/>
      <c r="G23" s="28"/>
      <c r="H23" s="5"/>
      <c r="I23" s="28"/>
      <c r="J23" s="5"/>
      <c r="K23" s="12"/>
      <c r="L23" s="90">
        <v>0.18333333333333332</v>
      </c>
      <c r="M23" s="91">
        <f t="shared" si="6"/>
        <v>0</v>
      </c>
      <c r="N23" s="92">
        <f t="shared" ref="N23:N27" si="7">+IF(($M$3-L23)&gt;$M$4,$M$3-L23,0)</f>
        <v>0.15</v>
      </c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30">
        <v>17.0</v>
      </c>
      <c r="B24" s="33" t="s">
        <v>20</v>
      </c>
      <c r="C24" s="28"/>
      <c r="D24" s="5"/>
      <c r="E24" s="28"/>
      <c r="F24" s="5"/>
      <c r="G24" s="28"/>
      <c r="H24" s="5"/>
      <c r="I24" s="28"/>
      <c r="J24" s="5"/>
      <c r="K24" s="12"/>
      <c r="L24" s="90">
        <f t="shared" ref="L24:L27" si="8">(E24-C24)+(I24-G24)</f>
        <v>0</v>
      </c>
      <c r="M24" s="91">
        <f t="shared" si="6"/>
        <v>0</v>
      </c>
      <c r="N24" s="92">
        <f t="shared" si="7"/>
        <v>0.3333333333</v>
      </c>
      <c r="R24" s="29">
        <v>0.0</v>
      </c>
      <c r="S24" s="29"/>
      <c r="T24" s="29"/>
      <c r="U24" s="13"/>
      <c r="V24" s="35"/>
      <c r="W24" s="35"/>
      <c r="X24" s="29"/>
    </row>
    <row r="25">
      <c r="A25" s="30">
        <v>18.0</v>
      </c>
      <c r="B25" s="33" t="s">
        <v>21</v>
      </c>
      <c r="C25" s="36"/>
      <c r="D25" s="5"/>
      <c r="E25" s="28"/>
      <c r="F25" s="5"/>
      <c r="G25" s="28"/>
      <c r="H25" s="5"/>
      <c r="I25" s="28"/>
      <c r="J25" s="5"/>
      <c r="K25" s="38"/>
      <c r="L25" s="90">
        <f t="shared" si="8"/>
        <v>0</v>
      </c>
      <c r="M25" s="91">
        <f t="shared" si="6"/>
        <v>0</v>
      </c>
      <c r="N25" s="92">
        <f t="shared" si="7"/>
        <v>0.3333333333</v>
      </c>
      <c r="R25" s="29" t="s">
        <v>46</v>
      </c>
      <c r="S25" s="29"/>
      <c r="T25" s="29"/>
      <c r="U25" s="37"/>
      <c r="V25" s="35"/>
      <c r="W25" s="35"/>
      <c r="X25" s="13"/>
    </row>
    <row r="26">
      <c r="A26" s="30">
        <v>19.0</v>
      </c>
      <c r="B26" s="32" t="s">
        <v>30</v>
      </c>
      <c r="C26" s="28"/>
      <c r="D26" s="5"/>
      <c r="E26" s="28"/>
      <c r="F26" s="5"/>
      <c r="G26" s="28"/>
      <c r="H26" s="5"/>
      <c r="I26" s="28"/>
      <c r="J26" s="5"/>
      <c r="K26" s="40"/>
      <c r="L26" s="90">
        <f t="shared" si="8"/>
        <v>0</v>
      </c>
      <c r="M26" s="91">
        <f t="shared" si="6"/>
        <v>0</v>
      </c>
      <c r="N26" s="92">
        <f t="shared" si="7"/>
        <v>0.3333333333</v>
      </c>
      <c r="R26" s="29"/>
      <c r="S26" s="29"/>
      <c r="T26" s="29"/>
      <c r="U26" s="37"/>
      <c r="V26" s="35"/>
      <c r="W26" s="13"/>
      <c r="X26" s="13"/>
    </row>
    <row r="27">
      <c r="A27" s="30">
        <v>20.0</v>
      </c>
      <c r="B27" s="33" t="s">
        <v>24</v>
      </c>
      <c r="C27" s="36"/>
      <c r="D27" s="5"/>
      <c r="E27" s="36"/>
      <c r="F27" s="5"/>
      <c r="G27" s="36"/>
      <c r="H27" s="5"/>
      <c r="I27" s="36"/>
      <c r="J27" s="5"/>
      <c r="K27" s="12"/>
      <c r="L27" s="90">
        <f t="shared" si="8"/>
        <v>0</v>
      </c>
      <c r="M27" s="91">
        <f t="shared" si="6"/>
        <v>0</v>
      </c>
      <c r="N27" s="92">
        <f t="shared" si="7"/>
        <v>0.3333333333</v>
      </c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30">
        <v>21.0</v>
      </c>
      <c r="B28" s="33" t="s">
        <v>25</v>
      </c>
      <c r="C28" s="28"/>
      <c r="D28" s="5"/>
      <c r="E28" s="28"/>
      <c r="F28" s="5"/>
      <c r="G28" s="28"/>
      <c r="H28" s="5"/>
      <c r="I28" s="28"/>
      <c r="J28" s="5"/>
      <c r="K28" s="12"/>
      <c r="L28" s="84">
        <v>0.0</v>
      </c>
      <c r="M28" s="84">
        <v>0.0</v>
      </c>
      <c r="N28" s="84">
        <v>0.0</v>
      </c>
      <c r="P28" s="98"/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30">
        <v>22.0</v>
      </c>
      <c r="B29" s="33" t="s">
        <v>18</v>
      </c>
      <c r="C29" s="28"/>
      <c r="D29" s="5"/>
      <c r="E29" s="28"/>
      <c r="F29" s="5"/>
      <c r="G29" s="28"/>
      <c r="H29" s="5"/>
      <c r="I29" s="28"/>
      <c r="J29" s="5"/>
      <c r="K29" s="12"/>
      <c r="L29" s="83">
        <f t="shared" ref="L29:L35" si="9">(E29-C29)+(I29-G29)</f>
        <v>0</v>
      </c>
      <c r="M29" s="83">
        <f t="shared" ref="M29:M34" si="10">IF((L29-$M$3)&gt;$M$4,L29-$M$3,0)</f>
        <v>0</v>
      </c>
      <c r="N29" s="84">
        <v>0.0</v>
      </c>
      <c r="R29" s="29"/>
      <c r="S29" s="29"/>
      <c r="T29" s="13"/>
      <c r="U29" s="13"/>
      <c r="V29" s="13"/>
      <c r="W29" s="13"/>
      <c r="X29" s="13"/>
    </row>
    <row r="30">
      <c r="A30" s="30">
        <v>23.0</v>
      </c>
      <c r="B30" s="32" t="s">
        <v>26</v>
      </c>
      <c r="C30" s="36"/>
      <c r="D30" s="5"/>
      <c r="E30" s="36"/>
      <c r="F30" s="5"/>
      <c r="G30" s="36"/>
      <c r="H30" s="5"/>
      <c r="I30" s="36"/>
      <c r="J30" s="5"/>
      <c r="K30" s="12"/>
      <c r="L30" s="90">
        <f t="shared" si="9"/>
        <v>0</v>
      </c>
      <c r="M30" s="91">
        <f t="shared" si="10"/>
        <v>0</v>
      </c>
      <c r="N30" s="92">
        <f t="shared" ref="N30:N34" si="11">+IF(($M$3-L30)&gt;$M$4,$M$3-L30,0)</f>
        <v>0.3333333333</v>
      </c>
      <c r="R30" s="29"/>
      <c r="S30" s="29"/>
      <c r="T30" s="29"/>
      <c r="U30" s="37"/>
      <c r="V30" s="29">
        <v>5.3</v>
      </c>
      <c r="W30" s="13"/>
      <c r="X30" s="13"/>
    </row>
    <row r="31">
      <c r="A31" s="30">
        <v>24.0</v>
      </c>
      <c r="B31" s="33" t="s">
        <v>20</v>
      </c>
      <c r="C31" s="36"/>
      <c r="D31" s="5"/>
      <c r="E31" s="36"/>
      <c r="F31" s="5"/>
      <c r="G31" s="99"/>
      <c r="H31" s="5"/>
      <c r="I31" s="36"/>
      <c r="J31" s="5"/>
      <c r="K31" s="12"/>
      <c r="L31" s="90">
        <f t="shared" si="9"/>
        <v>0</v>
      </c>
      <c r="M31" s="91">
        <f t="shared" si="10"/>
        <v>0</v>
      </c>
      <c r="N31" s="92">
        <f t="shared" si="11"/>
        <v>0.3333333333</v>
      </c>
      <c r="P31" s="35"/>
      <c r="Q31" s="13"/>
      <c r="R31" s="13"/>
    </row>
    <row r="32">
      <c r="A32" s="30">
        <v>25.0</v>
      </c>
      <c r="B32" s="33" t="s">
        <v>28</v>
      </c>
      <c r="C32" s="36"/>
      <c r="D32" s="5"/>
      <c r="E32" s="36"/>
      <c r="F32" s="5"/>
      <c r="G32" s="36"/>
      <c r="H32" s="5"/>
      <c r="I32" s="36"/>
      <c r="J32" s="5"/>
      <c r="K32" s="12"/>
      <c r="L32" s="90">
        <f t="shared" si="9"/>
        <v>0</v>
      </c>
      <c r="M32" s="91">
        <f t="shared" si="10"/>
        <v>0</v>
      </c>
      <c r="N32" s="92">
        <f t="shared" si="11"/>
        <v>0.3333333333</v>
      </c>
      <c r="P32" s="35"/>
      <c r="Q32" s="29"/>
      <c r="R32" s="29"/>
    </row>
    <row r="33">
      <c r="A33" s="30">
        <v>26.0</v>
      </c>
      <c r="B33" s="33" t="s">
        <v>30</v>
      </c>
      <c r="C33" s="36"/>
      <c r="D33" s="5"/>
      <c r="E33" s="36"/>
      <c r="F33" s="5"/>
      <c r="G33" s="36"/>
      <c r="H33" s="5"/>
      <c r="I33" s="36"/>
      <c r="J33" s="5"/>
      <c r="K33" s="46"/>
      <c r="L33" s="90">
        <f t="shared" si="9"/>
        <v>0</v>
      </c>
      <c r="M33" s="91">
        <f t="shared" si="10"/>
        <v>0</v>
      </c>
      <c r="N33" s="92">
        <f t="shared" si="11"/>
        <v>0.3333333333</v>
      </c>
      <c r="O33" s="31"/>
      <c r="P33" s="35"/>
      <c r="Q33" s="13"/>
      <c r="R33" s="13"/>
    </row>
    <row r="34">
      <c r="A34" s="30">
        <v>27.0</v>
      </c>
      <c r="B34" s="33" t="s">
        <v>24</v>
      </c>
      <c r="C34" s="36"/>
      <c r="D34" s="5"/>
      <c r="E34" s="36"/>
      <c r="F34" s="5"/>
      <c r="G34" s="36"/>
      <c r="H34" s="5"/>
      <c r="I34" s="36"/>
      <c r="J34" s="5"/>
      <c r="K34" s="46"/>
      <c r="L34" s="90">
        <f t="shared" si="9"/>
        <v>0</v>
      </c>
      <c r="M34" s="91">
        <f t="shared" si="10"/>
        <v>0</v>
      </c>
      <c r="N34" s="92">
        <f t="shared" si="11"/>
        <v>0.3333333333</v>
      </c>
      <c r="P34" s="13"/>
      <c r="Q34" s="13"/>
      <c r="R34" s="13"/>
    </row>
    <row r="35">
      <c r="A35" s="30">
        <v>28.0</v>
      </c>
      <c r="B35" s="33" t="s">
        <v>25</v>
      </c>
      <c r="C35" s="36"/>
      <c r="D35" s="5"/>
      <c r="E35" s="28"/>
      <c r="F35" s="5"/>
      <c r="G35" s="28"/>
      <c r="H35" s="5"/>
      <c r="I35" s="100"/>
      <c r="J35" s="5"/>
      <c r="K35" s="46"/>
      <c r="L35" s="83">
        <f t="shared" si="9"/>
        <v>0</v>
      </c>
      <c r="M35" s="84">
        <v>0.0</v>
      </c>
      <c r="N35" s="84">
        <v>0.0</v>
      </c>
      <c r="P35" s="35"/>
      <c r="Q35" s="13"/>
      <c r="R35" s="43"/>
      <c r="S35" s="101"/>
    </row>
    <row r="36">
      <c r="A36" s="30">
        <v>29.0</v>
      </c>
      <c r="B36" s="33" t="s">
        <v>18</v>
      </c>
      <c r="C36" s="36"/>
      <c r="D36" s="5"/>
      <c r="E36" s="36"/>
      <c r="F36" s="5"/>
      <c r="G36" s="36"/>
      <c r="H36" s="5"/>
      <c r="I36" s="36"/>
      <c r="J36" s="5"/>
      <c r="K36" s="12"/>
      <c r="L36" s="84">
        <v>0.0</v>
      </c>
      <c r="M36" s="84">
        <v>0.0</v>
      </c>
      <c r="N36" s="84">
        <v>0.0</v>
      </c>
      <c r="O36" s="29"/>
      <c r="Q36" s="13"/>
      <c r="R36" s="29"/>
      <c r="S36" s="37"/>
    </row>
    <row r="37">
      <c r="A37" s="30">
        <v>30.0</v>
      </c>
      <c r="B37" s="33" t="s">
        <v>26</v>
      </c>
      <c r="C37" s="36"/>
      <c r="D37" s="5"/>
      <c r="E37" s="36"/>
      <c r="F37" s="5"/>
      <c r="G37" s="36"/>
      <c r="H37" s="5"/>
      <c r="I37" s="102"/>
      <c r="J37" s="5"/>
      <c r="K37" s="12"/>
      <c r="L37" s="90">
        <f t="shared" ref="L37:L38" si="12">(E37-C37)+(I37-G37)</f>
        <v>0</v>
      </c>
      <c r="M37" s="91">
        <f t="shared" ref="M37:M38" si="13">IF((L37-$M$3)&gt;$M$4,L37-$M$3,0)</f>
        <v>0</v>
      </c>
      <c r="N37" s="92">
        <f t="shared" ref="N37:N38" si="14">+IF(($M$3-L37)&gt;$M$4,$M$3-L37,0)</f>
        <v>0.3333333333</v>
      </c>
      <c r="P37" s="35"/>
      <c r="Q37" s="37"/>
      <c r="R37" s="35"/>
      <c r="S37" s="41"/>
    </row>
    <row r="38">
      <c r="A38" s="30"/>
      <c r="B38" s="33"/>
      <c r="C38" s="36"/>
      <c r="D38" s="5"/>
      <c r="E38" s="28"/>
      <c r="F38" s="5"/>
      <c r="G38" s="28"/>
      <c r="H38" s="5"/>
      <c r="I38" s="28"/>
      <c r="J38" s="5"/>
      <c r="K38" s="6"/>
      <c r="L38" s="90">
        <f t="shared" si="12"/>
        <v>0</v>
      </c>
      <c r="M38" s="91">
        <f t="shared" si="13"/>
        <v>0</v>
      </c>
      <c r="N38" s="92">
        <f t="shared" si="14"/>
        <v>0.3333333333</v>
      </c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5">
        <f>SUM(M8:M38)</f>
        <v>0.1131944444</v>
      </c>
      <c r="N39" s="106">
        <v>0.24375</v>
      </c>
      <c r="O39" s="13"/>
      <c r="P39" s="13"/>
      <c r="Q39" s="13">
        <f>24-8</f>
        <v>16</v>
      </c>
      <c r="R39" s="13"/>
    </row>
    <row r="40">
      <c r="A40" s="107" t="s">
        <v>48</v>
      </c>
      <c r="B40" s="108"/>
      <c r="C40" s="108"/>
      <c r="D40" s="108"/>
      <c r="E40" s="15"/>
      <c r="F40" s="108"/>
      <c r="G40" s="15"/>
      <c r="H40" s="108"/>
      <c r="I40" s="108"/>
      <c r="J40" s="109"/>
      <c r="K40" s="12"/>
      <c r="L40" s="13"/>
      <c r="M40" s="13"/>
      <c r="N40" s="35"/>
      <c r="O40" s="13"/>
      <c r="P40" s="29"/>
      <c r="Q40" s="13"/>
    </row>
    <row r="41">
      <c r="A41" s="107" t="s">
        <v>49</v>
      </c>
      <c r="B41" s="108"/>
      <c r="C41" s="108"/>
      <c r="D41" s="108"/>
      <c r="E41" s="108"/>
      <c r="F41" s="108"/>
      <c r="G41" s="15"/>
      <c r="H41" s="108"/>
      <c r="I41" s="108"/>
      <c r="J41" s="109"/>
      <c r="K41" s="6"/>
      <c r="L41" s="13"/>
      <c r="M41" s="13"/>
      <c r="N41" s="13"/>
      <c r="O41" s="29"/>
      <c r="P41" s="35"/>
      <c r="Q41" s="29"/>
    </row>
    <row r="42">
      <c r="A42" s="107" t="s">
        <v>50</v>
      </c>
      <c r="B42" s="15"/>
      <c r="C42" s="15"/>
      <c r="D42" s="15"/>
      <c r="E42" s="15"/>
      <c r="F42" s="15"/>
      <c r="G42" s="15"/>
      <c r="H42" s="15"/>
      <c r="I42" s="15"/>
      <c r="J42" s="5"/>
      <c r="L42" s="13"/>
      <c r="M42" s="13"/>
      <c r="N42" s="29"/>
      <c r="O42" s="13"/>
      <c r="P42" s="13"/>
      <c r="Q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L43" s="13"/>
      <c r="M43" s="13"/>
      <c r="N43" s="35"/>
      <c r="O43" s="35"/>
      <c r="P43" s="13"/>
      <c r="Q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13"/>
      <c r="O44" s="13"/>
      <c r="P44" s="13"/>
      <c r="Q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L47" s="35"/>
      <c r="M47" s="13"/>
      <c r="N47" s="13"/>
      <c r="O47" s="13"/>
      <c r="P47" s="13"/>
      <c r="Q47" s="13"/>
    </row>
    <row r="48">
      <c r="L48" s="41"/>
      <c r="P48" s="13"/>
      <c r="Q48" s="13"/>
    </row>
  </sheetData>
  <mergeCells count="145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E12:F12"/>
    <mergeCell ref="G12:H12"/>
    <mergeCell ref="C9:D9"/>
    <mergeCell ref="C10:D10"/>
    <mergeCell ref="E10:F10"/>
    <mergeCell ref="G10:H10"/>
    <mergeCell ref="I10:J10"/>
    <mergeCell ref="C11:J11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4:E44"/>
    <mergeCell ref="D45:E45"/>
    <mergeCell ref="F45:G45"/>
    <mergeCell ref="A39:J39"/>
    <mergeCell ref="D40:E40"/>
    <mergeCell ref="F40:G40"/>
    <mergeCell ref="F41:G41"/>
    <mergeCell ref="A42:J42"/>
    <mergeCell ref="F43:G43"/>
    <mergeCell ref="F44:G44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9" t="s">
        <v>11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25">
        <v>1.0</v>
      </c>
      <c r="B8" s="27" t="s">
        <v>18</v>
      </c>
      <c r="C8" s="28">
        <v>0.35833333333333334</v>
      </c>
      <c r="D8" s="5"/>
      <c r="E8" s="28">
        <v>0.5048611111111111</v>
      </c>
      <c r="F8" s="5"/>
      <c r="G8" s="28">
        <v>0.5506944444444445</v>
      </c>
      <c r="H8" s="5"/>
      <c r="I8" s="28">
        <v>0.7486111111111111</v>
      </c>
      <c r="J8" s="5"/>
      <c r="K8" s="6"/>
      <c r="L8" s="90">
        <v>0.34444444444444444</v>
      </c>
      <c r="M8" s="92">
        <f>IF((L8-$M$3)&gt;$M$4,L8-$M$3,0)</f>
        <v>0.01111111111</v>
      </c>
      <c r="N8" s="89">
        <v>0.0</v>
      </c>
      <c r="S8" s="13"/>
      <c r="T8" s="29"/>
      <c r="U8" s="29"/>
      <c r="V8" s="13"/>
      <c r="W8" s="13"/>
      <c r="X8" s="13"/>
      <c r="Y8" s="13"/>
      <c r="Z8" s="13"/>
      <c r="AA8" s="13"/>
    </row>
    <row r="9">
      <c r="A9" s="30">
        <v>2.0</v>
      </c>
      <c r="B9" s="27" t="s">
        <v>19</v>
      </c>
      <c r="C9" s="28">
        <v>0.3576388888888889</v>
      </c>
      <c r="D9" s="5"/>
      <c r="E9" s="28">
        <v>0.5027777777777778</v>
      </c>
      <c r="F9" s="5"/>
      <c r="G9" s="28">
        <v>0.5493055555555556</v>
      </c>
      <c r="H9" s="5"/>
      <c r="I9" s="28">
        <v>0.75</v>
      </c>
      <c r="J9" s="5"/>
      <c r="K9" s="6"/>
      <c r="L9" s="90">
        <v>0.3458333333333333</v>
      </c>
      <c r="M9" s="90">
        <v>0.0125</v>
      </c>
      <c r="N9" s="89">
        <v>0.0</v>
      </c>
      <c r="O9" s="98"/>
      <c r="S9" s="13"/>
      <c r="T9" s="29"/>
      <c r="U9" s="29"/>
      <c r="V9" s="13"/>
      <c r="W9" s="13"/>
      <c r="X9" s="13"/>
      <c r="Y9" s="13"/>
      <c r="Z9" s="13"/>
      <c r="AA9" s="29"/>
    </row>
    <row r="10">
      <c r="A10" s="30">
        <v>3.0</v>
      </c>
      <c r="B10" s="32" t="s">
        <v>20</v>
      </c>
      <c r="C10" s="28">
        <v>0.33819444444444446</v>
      </c>
      <c r="D10" s="5"/>
      <c r="E10" s="28"/>
      <c r="F10" s="5"/>
      <c r="G10" s="100"/>
      <c r="H10" s="5"/>
      <c r="I10" s="28">
        <v>0.5</v>
      </c>
      <c r="J10" s="5"/>
      <c r="K10" s="6"/>
      <c r="L10" s="90">
        <v>0.16180555555555556</v>
      </c>
      <c r="M10" s="91">
        <f t="shared" ref="M10:M19" si="1">IF((L10-$M$3)&gt;$M$4,L10-$M$3,0)</f>
        <v>0</v>
      </c>
      <c r="N10" s="90">
        <v>0.004861111111111111</v>
      </c>
      <c r="S10" s="13"/>
      <c r="T10" s="29"/>
      <c r="U10" s="29"/>
      <c r="V10" s="13"/>
      <c r="W10" s="13"/>
      <c r="X10" s="13"/>
      <c r="Y10" s="13"/>
      <c r="Z10" s="13"/>
      <c r="AA10" s="13"/>
    </row>
    <row r="11">
      <c r="A11" s="30">
        <v>4.0</v>
      </c>
      <c r="B11" s="33" t="s">
        <v>21</v>
      </c>
      <c r="C11" s="34" t="s">
        <v>22</v>
      </c>
      <c r="D11" s="15"/>
      <c r="E11" s="15"/>
      <c r="F11" s="15"/>
      <c r="G11" s="15"/>
      <c r="H11" s="15"/>
      <c r="I11" s="15"/>
      <c r="J11" s="5"/>
      <c r="K11" s="6"/>
      <c r="L11" s="89">
        <v>0.0</v>
      </c>
      <c r="M11" s="91">
        <f t="shared" si="1"/>
        <v>0</v>
      </c>
      <c r="N11" s="89">
        <v>0.0</v>
      </c>
      <c r="O11" s="98"/>
      <c r="P11" s="29"/>
      <c r="S11" s="13"/>
      <c r="T11" s="29"/>
      <c r="U11" s="29"/>
      <c r="V11" s="13"/>
      <c r="W11" s="13"/>
      <c r="X11" s="13"/>
      <c r="Y11" s="13"/>
      <c r="Z11" s="13"/>
      <c r="AA11" s="13"/>
    </row>
    <row r="12">
      <c r="A12" s="30">
        <v>5.0</v>
      </c>
      <c r="B12" s="27" t="s">
        <v>23</v>
      </c>
      <c r="C12" s="28"/>
      <c r="D12" s="5"/>
      <c r="E12" s="28"/>
      <c r="F12" s="5"/>
      <c r="G12" s="28"/>
      <c r="H12" s="5"/>
      <c r="I12" s="28"/>
      <c r="J12" s="5"/>
      <c r="K12" s="6"/>
      <c r="L12" s="89">
        <v>0.0</v>
      </c>
      <c r="M12" s="91">
        <f t="shared" si="1"/>
        <v>0</v>
      </c>
      <c r="N12" s="89">
        <v>0.0</v>
      </c>
      <c r="S12" s="13"/>
      <c r="T12" s="29"/>
      <c r="U12" s="29"/>
      <c r="V12" s="13"/>
      <c r="W12" s="13"/>
      <c r="X12" s="13"/>
      <c r="Y12" s="13"/>
      <c r="Z12" s="13"/>
      <c r="AA12" s="13"/>
    </row>
    <row r="13">
      <c r="A13" s="30">
        <v>6.0</v>
      </c>
      <c r="B13" s="32" t="s">
        <v>24</v>
      </c>
      <c r="C13" s="36">
        <v>0.3597222222222222</v>
      </c>
      <c r="D13" s="5"/>
      <c r="E13" s="36">
        <v>0.5111111111111111</v>
      </c>
      <c r="F13" s="5"/>
      <c r="G13" s="36">
        <v>0.5569444444444445</v>
      </c>
      <c r="H13" s="5"/>
      <c r="I13" s="36">
        <v>0.75</v>
      </c>
      <c r="J13" s="5"/>
      <c r="K13" s="6"/>
      <c r="L13" s="90">
        <v>0.34444444444444444</v>
      </c>
      <c r="M13" s="92">
        <f t="shared" si="1"/>
        <v>0.01111111111</v>
      </c>
      <c r="N13" s="89">
        <v>0.0</v>
      </c>
      <c r="S13" s="13"/>
      <c r="T13" s="29"/>
      <c r="U13" s="29"/>
      <c r="V13" s="29"/>
      <c r="W13" s="37"/>
      <c r="X13" s="35"/>
      <c r="Y13" s="13"/>
      <c r="Z13" s="13"/>
      <c r="AA13" s="13"/>
    </row>
    <row r="14">
      <c r="A14" s="30">
        <v>7.0</v>
      </c>
      <c r="B14" s="33" t="s">
        <v>25</v>
      </c>
      <c r="C14" s="36">
        <v>0.3576388888888889</v>
      </c>
      <c r="D14" s="5"/>
      <c r="E14" s="28">
        <v>0.5208333333333334</v>
      </c>
      <c r="F14" s="5"/>
      <c r="G14" s="28">
        <v>0.5659722222222222</v>
      </c>
      <c r="H14" s="5"/>
      <c r="I14" s="28">
        <v>0.7520833333333333</v>
      </c>
      <c r="J14" s="5"/>
      <c r="K14" s="124"/>
      <c r="L14" s="90">
        <v>0.34930555555555554</v>
      </c>
      <c r="M14" s="92">
        <f t="shared" si="1"/>
        <v>0.01597222222</v>
      </c>
      <c r="N14" s="89">
        <v>0.0</v>
      </c>
      <c r="S14" s="13"/>
      <c r="T14" s="29"/>
      <c r="U14" s="29"/>
      <c r="V14" s="29"/>
      <c r="W14" s="35"/>
      <c r="X14" s="96"/>
      <c r="Y14" s="13"/>
      <c r="Z14" s="13"/>
      <c r="AA14" s="13"/>
    </row>
    <row r="15">
      <c r="A15" s="30">
        <v>8.0</v>
      </c>
      <c r="B15" s="33" t="s">
        <v>18</v>
      </c>
      <c r="C15" s="28">
        <v>0.36527777777777776</v>
      </c>
      <c r="D15" s="5"/>
      <c r="E15" s="28">
        <v>0.5097222222222222</v>
      </c>
      <c r="F15" s="5"/>
      <c r="G15" s="28">
        <v>0.5583333333333333</v>
      </c>
      <c r="H15" s="5"/>
      <c r="I15" s="28">
        <v>0.7444444444444445</v>
      </c>
      <c r="J15" s="5"/>
      <c r="K15" s="6"/>
      <c r="L15" s="90">
        <v>0.33055555555555555</v>
      </c>
      <c r="M15" s="91">
        <f t="shared" si="1"/>
        <v>0</v>
      </c>
      <c r="N15" s="89">
        <v>0.0</v>
      </c>
      <c r="S15" s="13"/>
      <c r="T15" s="29"/>
      <c r="U15" s="29"/>
      <c r="V15" s="29"/>
      <c r="W15" s="37"/>
      <c r="X15" s="35"/>
      <c r="Y15" s="13"/>
      <c r="Z15" s="13"/>
      <c r="AA15" s="13"/>
    </row>
    <row r="16">
      <c r="A16" s="30">
        <v>9.0</v>
      </c>
      <c r="B16" s="27" t="s">
        <v>26</v>
      </c>
      <c r="C16" s="36">
        <v>0.36041666666666666</v>
      </c>
      <c r="D16" s="5"/>
      <c r="E16" s="36">
        <v>0.5034722222222222</v>
      </c>
      <c r="F16" s="5"/>
      <c r="G16" s="36">
        <v>0.5506944444444445</v>
      </c>
      <c r="H16" s="5"/>
      <c r="I16" s="36">
        <v>0.7430555555555556</v>
      </c>
      <c r="J16" s="5"/>
      <c r="K16" s="6"/>
      <c r="L16" s="90">
        <v>0.33125</v>
      </c>
      <c r="M16" s="91">
        <f t="shared" si="1"/>
        <v>0</v>
      </c>
      <c r="N16" s="89">
        <v>0.0</v>
      </c>
      <c r="S16" s="13"/>
      <c r="T16" s="29"/>
      <c r="U16" s="13"/>
      <c r="V16" s="13"/>
      <c r="W16" s="13"/>
      <c r="X16" s="13"/>
      <c r="Y16" s="13"/>
      <c r="Z16" s="13"/>
      <c r="AA16" s="13"/>
    </row>
    <row r="17">
      <c r="A17" s="30">
        <v>10.0</v>
      </c>
      <c r="B17" s="32" t="s">
        <v>20</v>
      </c>
      <c r="C17" s="28">
        <v>0.36180555555555555</v>
      </c>
      <c r="D17" s="5"/>
      <c r="E17" s="28">
        <v>0.5034722222222222</v>
      </c>
      <c r="F17" s="5"/>
      <c r="G17" s="28">
        <v>0.5465277777777777</v>
      </c>
      <c r="H17" s="5"/>
      <c r="I17" s="28"/>
      <c r="J17" s="5"/>
      <c r="K17" s="6"/>
      <c r="L17" s="90">
        <f t="shared" ref="L17:L35" si="2">(E16-C16)+(I16-G16)</f>
        <v>0.3354166667</v>
      </c>
      <c r="M17" s="91">
        <f t="shared" si="1"/>
        <v>0</v>
      </c>
      <c r="N17" s="91">
        <f>+IF(($M$3-L17)&gt;$M$4,$M$3-L17,0)</f>
        <v>0</v>
      </c>
      <c r="P17" s="29"/>
      <c r="S17" s="13"/>
      <c r="T17" s="29"/>
      <c r="U17" s="13"/>
      <c r="V17" s="13"/>
      <c r="W17" s="13"/>
      <c r="X17" s="13"/>
      <c r="Y17" s="13"/>
      <c r="Z17" s="13"/>
      <c r="AA17" s="13"/>
    </row>
    <row r="18">
      <c r="A18" s="30">
        <v>11.0</v>
      </c>
      <c r="B18" s="33" t="s">
        <v>28</v>
      </c>
      <c r="C18" s="28"/>
      <c r="D18" s="5"/>
      <c r="E18" s="28"/>
      <c r="F18" s="5"/>
      <c r="G18" s="28"/>
      <c r="H18" s="5"/>
      <c r="I18" s="28"/>
      <c r="J18" s="5"/>
      <c r="K18" s="6"/>
      <c r="L18" s="90">
        <f t="shared" si="2"/>
        <v>-0.4048611111</v>
      </c>
      <c r="M18" s="91">
        <f t="shared" si="1"/>
        <v>0</v>
      </c>
      <c r="N18" s="89">
        <v>0.0</v>
      </c>
      <c r="S18" s="13"/>
      <c r="T18" s="29"/>
      <c r="U18" s="29"/>
      <c r="V18" s="29"/>
      <c r="W18" s="37"/>
      <c r="X18" s="35"/>
      <c r="Y18" s="13"/>
      <c r="Z18" s="13"/>
      <c r="AA18" s="29"/>
    </row>
    <row r="19">
      <c r="A19" s="30">
        <v>12.0</v>
      </c>
      <c r="B19" s="27" t="s">
        <v>29</v>
      </c>
      <c r="C19" s="36"/>
      <c r="D19" s="5"/>
      <c r="E19" s="36"/>
      <c r="F19" s="5"/>
      <c r="G19" s="36"/>
      <c r="H19" s="5"/>
      <c r="I19" s="36"/>
      <c r="J19" s="5"/>
      <c r="K19" s="6"/>
      <c r="L19" s="90">
        <f t="shared" si="2"/>
        <v>0</v>
      </c>
      <c r="M19" s="91">
        <f t="shared" si="1"/>
        <v>0</v>
      </c>
      <c r="N19" s="92">
        <f>+IF(($M$3-L19)&gt;$M$4,$M$3-L19,0)</f>
        <v>0.3333333333</v>
      </c>
      <c r="S19" s="13"/>
      <c r="T19" s="29"/>
      <c r="U19" s="29"/>
      <c r="V19" s="29"/>
      <c r="W19" s="37"/>
      <c r="X19" s="35"/>
      <c r="Y19" s="13"/>
      <c r="Z19" s="13"/>
      <c r="AA19" s="13"/>
    </row>
    <row r="20">
      <c r="A20" s="30">
        <v>13.0</v>
      </c>
      <c r="B20" s="32" t="s">
        <v>24</v>
      </c>
      <c r="C20" s="36"/>
      <c r="D20" s="5"/>
      <c r="E20" s="36"/>
      <c r="F20" s="5"/>
      <c r="G20" s="36"/>
      <c r="H20" s="5"/>
      <c r="I20" s="36"/>
      <c r="J20" s="5"/>
      <c r="K20" s="6"/>
      <c r="L20" s="90">
        <f t="shared" si="2"/>
        <v>0</v>
      </c>
      <c r="M20" s="89">
        <v>0.0</v>
      </c>
      <c r="N20" s="89">
        <v>0.0</v>
      </c>
      <c r="O20" s="31"/>
      <c r="S20" s="13"/>
      <c r="T20" s="29"/>
      <c r="U20" s="29"/>
      <c r="V20" s="13"/>
      <c r="W20" s="13"/>
      <c r="X20" s="13"/>
      <c r="Y20" s="13"/>
      <c r="Z20" s="13"/>
      <c r="AA20" s="13"/>
    </row>
    <row r="21">
      <c r="A21" s="30">
        <v>14.0</v>
      </c>
      <c r="B21" s="33" t="s">
        <v>25</v>
      </c>
      <c r="C21" s="36"/>
      <c r="D21" s="5"/>
      <c r="E21" s="36"/>
      <c r="F21" s="5"/>
      <c r="G21" s="36"/>
      <c r="H21" s="5"/>
      <c r="I21" s="36"/>
      <c r="J21" s="5"/>
      <c r="K21" s="6"/>
      <c r="L21" s="90">
        <f t="shared" si="2"/>
        <v>0</v>
      </c>
      <c r="M21" s="89">
        <v>0.0</v>
      </c>
      <c r="N21" s="89">
        <v>0.0</v>
      </c>
      <c r="S21" s="13"/>
      <c r="T21" s="96"/>
      <c r="U21" s="29"/>
      <c r="V21" s="13"/>
      <c r="W21" s="13"/>
      <c r="X21" s="13"/>
      <c r="Y21" s="13"/>
      <c r="Z21" s="13"/>
      <c r="AA21" s="13"/>
    </row>
    <row r="22">
      <c r="A22" s="30">
        <v>15.0</v>
      </c>
      <c r="B22" s="33" t="s">
        <v>18</v>
      </c>
      <c r="C22" s="36"/>
      <c r="D22" s="5"/>
      <c r="E22" s="28"/>
      <c r="F22" s="5"/>
      <c r="G22" s="28"/>
      <c r="H22" s="5"/>
      <c r="I22" s="28"/>
      <c r="J22" s="5"/>
      <c r="K22" s="6"/>
      <c r="L22" s="90">
        <f t="shared" si="2"/>
        <v>0</v>
      </c>
      <c r="M22" s="91">
        <f t="shared" ref="M22:M24" si="3">IF((L22-$M$3)&gt;$M$4,L22-$M$3,0)</f>
        <v>0</v>
      </c>
      <c r="N22" s="91"/>
      <c r="S22" s="13"/>
      <c r="T22" s="29"/>
      <c r="U22" s="29"/>
      <c r="V22" s="29"/>
      <c r="W22" s="31"/>
      <c r="X22" s="35"/>
      <c r="Y22" s="13"/>
      <c r="Z22" s="13"/>
      <c r="AA22" s="13"/>
    </row>
    <row r="23">
      <c r="A23" s="30">
        <v>16.0</v>
      </c>
      <c r="B23" s="32" t="s">
        <v>26</v>
      </c>
      <c r="C23" s="28"/>
      <c r="D23" s="5"/>
      <c r="E23" s="28"/>
      <c r="F23" s="5"/>
      <c r="G23" s="28"/>
      <c r="H23" s="5"/>
      <c r="I23" s="28"/>
      <c r="J23" s="5"/>
      <c r="K23" s="6"/>
      <c r="L23" s="90">
        <f t="shared" si="2"/>
        <v>0</v>
      </c>
      <c r="M23" s="91">
        <f t="shared" si="3"/>
        <v>0</v>
      </c>
      <c r="N23" s="92">
        <f t="shared" ref="N23:N24" si="4">+IF(($M$3-L23)&gt;$M$4,$M$3-L23,0)</f>
        <v>0.3333333333</v>
      </c>
      <c r="S23" s="13"/>
      <c r="T23" s="29"/>
      <c r="U23" s="29"/>
      <c r="V23" s="29"/>
      <c r="W23" s="35"/>
      <c r="X23" s="29"/>
      <c r="Y23" s="13"/>
      <c r="Z23" s="13"/>
      <c r="AA23" s="13"/>
    </row>
    <row r="24">
      <c r="A24" s="30">
        <v>17.0</v>
      </c>
      <c r="B24" s="33" t="s">
        <v>20</v>
      </c>
      <c r="C24" s="102"/>
      <c r="D24" s="5"/>
      <c r="E24" s="28"/>
      <c r="F24" s="5"/>
      <c r="G24" s="28"/>
      <c r="H24" s="5"/>
      <c r="I24" s="28"/>
      <c r="J24" s="5"/>
      <c r="K24" s="6"/>
      <c r="L24" s="90">
        <f t="shared" si="2"/>
        <v>0</v>
      </c>
      <c r="M24" s="91">
        <f t="shared" si="3"/>
        <v>0</v>
      </c>
      <c r="N24" s="92">
        <f t="shared" si="4"/>
        <v>0.3333333333</v>
      </c>
      <c r="S24" s="13"/>
      <c r="T24" s="29"/>
      <c r="U24" s="29"/>
      <c r="V24" s="29"/>
      <c r="W24" s="37"/>
      <c r="X24" s="35"/>
      <c r="Y24" s="13"/>
      <c r="Z24" s="13"/>
      <c r="AA24" s="13"/>
    </row>
    <row r="25">
      <c r="A25" s="30">
        <v>18.0</v>
      </c>
      <c r="B25" s="33" t="s">
        <v>21</v>
      </c>
      <c r="C25" s="28"/>
      <c r="D25" s="5"/>
      <c r="E25" s="28"/>
      <c r="F25" s="5"/>
      <c r="G25" s="28"/>
      <c r="H25" s="5"/>
      <c r="I25" s="28"/>
      <c r="J25" s="5"/>
      <c r="K25" s="6"/>
      <c r="L25" s="90">
        <f t="shared" si="2"/>
        <v>0</v>
      </c>
      <c r="M25" s="125">
        <v>0.0</v>
      </c>
      <c r="N25" s="126">
        <v>0.010416666666666666</v>
      </c>
      <c r="O25" s="98"/>
      <c r="S25" s="13"/>
      <c r="T25" s="29"/>
      <c r="U25" s="29"/>
      <c r="V25" s="13"/>
      <c r="W25" s="13"/>
      <c r="X25" s="13"/>
      <c r="Y25" s="13"/>
      <c r="Z25" s="13"/>
      <c r="AA25" s="13"/>
    </row>
    <row r="26">
      <c r="A26" s="30">
        <v>19.0</v>
      </c>
      <c r="B26" s="32" t="s">
        <v>30</v>
      </c>
      <c r="C26" s="36"/>
      <c r="D26" s="5"/>
      <c r="E26" s="36"/>
      <c r="F26" s="5"/>
      <c r="G26" s="36"/>
      <c r="H26" s="5"/>
      <c r="I26" s="36"/>
      <c r="J26" s="5"/>
      <c r="K26" s="127"/>
      <c r="L26" s="90">
        <f t="shared" si="2"/>
        <v>0</v>
      </c>
      <c r="M26" s="91">
        <f t="shared" ref="M26:M35" si="5">IF((L26-$M$3)&gt;$M$4,L26-$M$3,0)</f>
        <v>0</v>
      </c>
      <c r="N26" s="92">
        <f t="shared" ref="N26:N27" si="6">+IF(($M$3-L26)&gt;$M$4,$M$3-L26,0)</f>
        <v>0.3333333333</v>
      </c>
      <c r="O26" s="98"/>
      <c r="S26" s="29"/>
      <c r="T26" s="29"/>
      <c r="U26" s="29"/>
      <c r="V26" s="96"/>
      <c r="W26" s="29"/>
      <c r="X26" s="35"/>
      <c r="Y26" s="13"/>
      <c r="Z26" s="13"/>
      <c r="AA26" s="29"/>
    </row>
    <row r="27">
      <c r="A27" s="30">
        <v>20.0</v>
      </c>
      <c r="B27" s="33" t="s">
        <v>24</v>
      </c>
      <c r="C27" s="28"/>
      <c r="D27" s="5"/>
      <c r="E27" s="28"/>
      <c r="F27" s="5"/>
      <c r="G27" s="28"/>
      <c r="H27" s="5"/>
      <c r="I27" s="28"/>
      <c r="J27" s="5"/>
      <c r="K27" s="6"/>
      <c r="L27" s="90">
        <f t="shared" si="2"/>
        <v>0</v>
      </c>
      <c r="M27" s="91">
        <f t="shared" si="5"/>
        <v>0</v>
      </c>
      <c r="N27" s="92">
        <f t="shared" si="6"/>
        <v>0.3333333333</v>
      </c>
      <c r="S27" s="13"/>
      <c r="T27" s="29"/>
      <c r="U27" s="29"/>
      <c r="V27" s="13"/>
      <c r="W27" s="13"/>
      <c r="X27" s="13"/>
      <c r="Y27" s="13"/>
      <c r="Z27" s="13"/>
      <c r="AA27" s="13"/>
    </row>
    <row r="28">
      <c r="A28" s="30">
        <v>21.0</v>
      </c>
      <c r="B28" s="33" t="s">
        <v>25</v>
      </c>
      <c r="C28" s="28"/>
      <c r="D28" s="5"/>
      <c r="E28" s="28"/>
      <c r="F28" s="5"/>
      <c r="G28" s="28"/>
      <c r="H28" s="5"/>
      <c r="I28" s="28"/>
      <c r="J28" s="5"/>
      <c r="K28" s="6"/>
      <c r="L28" s="90">
        <f t="shared" si="2"/>
        <v>0</v>
      </c>
      <c r="M28" s="91">
        <f t="shared" si="5"/>
        <v>0</v>
      </c>
      <c r="N28" s="90">
        <v>0.004861111111111111</v>
      </c>
      <c r="O28" s="98"/>
      <c r="P28" s="98"/>
      <c r="S28" s="13"/>
      <c r="T28" s="29"/>
      <c r="U28" s="39"/>
      <c r="V28" s="29"/>
      <c r="W28" s="35"/>
      <c r="X28" s="29"/>
      <c r="Y28" s="13"/>
      <c r="Z28" s="13"/>
      <c r="AA28" s="29"/>
    </row>
    <row r="29">
      <c r="A29" s="30">
        <v>22.0</v>
      </c>
      <c r="B29" s="33" t="s">
        <v>18</v>
      </c>
      <c r="C29" s="36"/>
      <c r="D29" s="5"/>
      <c r="E29" s="36"/>
      <c r="F29" s="5"/>
      <c r="G29" s="102"/>
      <c r="H29" s="5"/>
      <c r="I29" s="36"/>
      <c r="J29" s="5"/>
      <c r="K29" s="6"/>
      <c r="L29" s="90">
        <f t="shared" si="2"/>
        <v>0</v>
      </c>
      <c r="M29" s="91">
        <f t="shared" si="5"/>
        <v>0</v>
      </c>
      <c r="N29" s="89">
        <v>0.0</v>
      </c>
      <c r="O29" s="13"/>
      <c r="P29" s="13"/>
      <c r="Q29" s="13"/>
      <c r="R29" s="13"/>
      <c r="S29" s="13"/>
      <c r="T29" s="29"/>
      <c r="U29" s="39"/>
      <c r="V29" s="13"/>
      <c r="W29" s="13"/>
      <c r="X29" s="13"/>
      <c r="Y29" s="13"/>
      <c r="Z29" s="13"/>
      <c r="AA29" s="13"/>
    </row>
    <row r="30">
      <c r="A30" s="30">
        <v>23.0</v>
      </c>
      <c r="B30" s="32" t="s">
        <v>26</v>
      </c>
      <c r="C30" s="36"/>
      <c r="D30" s="5"/>
      <c r="E30" s="36"/>
      <c r="F30" s="5"/>
      <c r="G30" s="36"/>
      <c r="H30" s="5"/>
      <c r="I30" s="36"/>
      <c r="J30" s="5"/>
      <c r="K30" s="6"/>
      <c r="L30" s="90">
        <f t="shared" si="2"/>
        <v>0</v>
      </c>
      <c r="M30" s="91">
        <f t="shared" si="5"/>
        <v>0</v>
      </c>
      <c r="N30" s="92">
        <f t="shared" ref="N30:N34" si="7">+IF(($M$3-L30)&gt;$M$4,$M$3-L30,0)</f>
        <v>0.3333333333</v>
      </c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30">
        <v>24.0</v>
      </c>
      <c r="B31" s="33" t="s">
        <v>20</v>
      </c>
      <c r="C31" s="36"/>
      <c r="D31" s="5"/>
      <c r="E31" s="36"/>
      <c r="F31" s="5"/>
      <c r="G31" s="36"/>
      <c r="H31" s="5"/>
      <c r="I31" s="36"/>
      <c r="J31" s="5"/>
      <c r="K31" s="6"/>
      <c r="L31" s="90">
        <f t="shared" si="2"/>
        <v>0</v>
      </c>
      <c r="M31" s="91">
        <f t="shared" si="5"/>
        <v>0</v>
      </c>
      <c r="N31" s="92">
        <f t="shared" si="7"/>
        <v>0.3333333333</v>
      </c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30">
        <v>25.0</v>
      </c>
      <c r="B32" s="33" t="s">
        <v>28</v>
      </c>
      <c r="C32" s="36"/>
      <c r="D32" s="5"/>
      <c r="E32" s="36"/>
      <c r="F32" s="5"/>
      <c r="G32" s="36"/>
      <c r="H32" s="5"/>
      <c r="I32" s="36"/>
      <c r="J32" s="5"/>
      <c r="K32" s="6"/>
      <c r="L32" s="90">
        <f t="shared" si="2"/>
        <v>0</v>
      </c>
      <c r="M32" s="91">
        <f t="shared" si="5"/>
        <v>0</v>
      </c>
      <c r="N32" s="92">
        <f t="shared" si="7"/>
        <v>0.3333333333</v>
      </c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30">
        <v>26.0</v>
      </c>
      <c r="B33" s="33" t="s">
        <v>30</v>
      </c>
      <c r="C33" s="36"/>
      <c r="D33" s="5"/>
      <c r="E33" s="36"/>
      <c r="F33" s="5"/>
      <c r="G33" s="36"/>
      <c r="H33" s="5"/>
      <c r="I33" s="36"/>
      <c r="J33" s="5"/>
      <c r="K33" s="6"/>
      <c r="L33" s="90">
        <f t="shared" si="2"/>
        <v>0</v>
      </c>
      <c r="M33" s="91">
        <f t="shared" si="5"/>
        <v>0</v>
      </c>
      <c r="N33" s="92">
        <f t="shared" si="7"/>
        <v>0.3333333333</v>
      </c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30">
        <v>27.0</v>
      </c>
      <c r="B34" s="33" t="s">
        <v>24</v>
      </c>
      <c r="C34" s="36"/>
      <c r="D34" s="5"/>
      <c r="E34" s="28"/>
      <c r="F34" s="5"/>
      <c r="G34" s="28"/>
      <c r="H34" s="5"/>
      <c r="I34" s="28"/>
      <c r="J34" s="5"/>
      <c r="K34" s="6"/>
      <c r="L34" s="90">
        <f t="shared" si="2"/>
        <v>0</v>
      </c>
      <c r="M34" s="91">
        <f t="shared" si="5"/>
        <v>0</v>
      </c>
      <c r="N34" s="92">
        <f t="shared" si="7"/>
        <v>0.3333333333</v>
      </c>
      <c r="O34" s="29"/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30">
        <v>28.0</v>
      </c>
      <c r="B35" s="33" t="s">
        <v>25</v>
      </c>
      <c r="C35" s="36"/>
      <c r="D35" s="5"/>
      <c r="E35" s="36"/>
      <c r="F35" s="5"/>
      <c r="G35" s="36"/>
      <c r="H35" s="5"/>
      <c r="I35" s="36"/>
      <c r="J35" s="5"/>
      <c r="L35" s="90">
        <f t="shared" si="2"/>
        <v>0</v>
      </c>
      <c r="M35" s="91">
        <f t="shared" si="5"/>
        <v>0</v>
      </c>
      <c r="N35" s="89">
        <v>0.0</v>
      </c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30">
        <v>29.0</v>
      </c>
      <c r="B36" s="33" t="s">
        <v>18</v>
      </c>
      <c r="C36" s="36"/>
      <c r="D36" s="5"/>
      <c r="E36" s="36"/>
      <c r="F36" s="5"/>
      <c r="G36" s="36"/>
      <c r="H36" s="5"/>
      <c r="I36" s="36"/>
      <c r="J36" s="5"/>
      <c r="K36" s="6"/>
      <c r="L36" s="130">
        <v>0.0</v>
      </c>
      <c r="M36" s="130">
        <v>0.0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30">
        <v>30.0</v>
      </c>
      <c r="B37" s="33" t="s">
        <v>26</v>
      </c>
      <c r="K37" s="6"/>
      <c r="L37" s="90">
        <f>(E36-C36)+(I36-G36)</f>
        <v>0</v>
      </c>
      <c r="M37" s="91">
        <f t="shared" ref="M37:M38" si="8">IF((L37-$M$3)&gt;$M$4,L37-$M$3,0)</f>
        <v>0</v>
      </c>
      <c r="N37" s="92">
        <f t="shared" ref="N37:N38" si="9">+IF(($M$3-L37)&gt;$M$4,$M$3-L37,0)</f>
        <v>0.3333333333</v>
      </c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A38" s="30"/>
      <c r="B38" s="33"/>
      <c r="C38" s="36"/>
      <c r="D38" s="5"/>
      <c r="E38" s="28"/>
      <c r="F38" s="5"/>
      <c r="G38" s="28"/>
      <c r="H38" s="5"/>
      <c r="I38" s="28"/>
      <c r="J38" s="5"/>
      <c r="K38" s="6"/>
      <c r="L38" s="90">
        <f>(E38-C38)+(I38-G38)</f>
        <v>0</v>
      </c>
      <c r="M38" s="91">
        <f t="shared" si="8"/>
        <v>0</v>
      </c>
      <c r="N38" s="92">
        <f t="shared" si="9"/>
        <v>0.3333333333</v>
      </c>
      <c r="O38" s="29"/>
      <c r="P38" s="13"/>
      <c r="Q38" s="13"/>
      <c r="R38" s="13"/>
    </row>
    <row r="39">
      <c r="A39" s="107" t="s">
        <v>53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6">
        <f t="shared" ref="M39:N39" si="10">SUM(M8:M38)</f>
        <v>0.05069444444</v>
      </c>
      <c r="N39" s="106">
        <f t="shared" si="10"/>
        <v>4.020138889</v>
      </c>
      <c r="P39" s="13"/>
      <c r="Q39" s="13"/>
      <c r="R39" s="13"/>
    </row>
    <row r="40">
      <c r="A40" s="107" t="s">
        <v>54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M40" s="29"/>
    </row>
    <row r="41">
      <c r="A41" s="132" t="s">
        <v>55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L42" s="31" t="s">
        <v>56</v>
      </c>
    </row>
    <row r="43">
      <c r="A43" s="136"/>
      <c r="B43" s="137"/>
      <c r="C43" s="137"/>
      <c r="D43" s="137"/>
      <c r="F43" s="137"/>
      <c r="H43" s="137"/>
      <c r="I43" s="137"/>
      <c r="J43" s="138"/>
      <c r="L43" s="98" t="s">
        <v>57</v>
      </c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  <row r="48">
      <c r="C48" s="41"/>
      <c r="E48" s="41"/>
    </row>
    <row r="50">
      <c r="L50" s="141"/>
    </row>
  </sheetData>
  <mergeCells count="141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E12:F12"/>
    <mergeCell ref="G12:H12"/>
    <mergeCell ref="C9:D9"/>
    <mergeCell ref="C10:D10"/>
    <mergeCell ref="E10:F10"/>
    <mergeCell ref="G10:H10"/>
    <mergeCell ref="I10:J10"/>
    <mergeCell ref="C11:J11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I36:J36"/>
    <mergeCell ref="E36:F36"/>
    <mergeCell ref="G36:H36"/>
    <mergeCell ref="C38:D38"/>
    <mergeCell ref="E38:F38"/>
    <mergeCell ref="G38:H38"/>
    <mergeCell ref="I38:J38"/>
    <mergeCell ref="A39:J39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D45:E45"/>
    <mergeCell ref="F45:G45"/>
    <mergeCell ref="A40:J40"/>
    <mergeCell ref="A41:J41"/>
    <mergeCell ref="F42:G42"/>
    <mergeCell ref="D43:E43"/>
    <mergeCell ref="F43:G43"/>
    <mergeCell ref="D44:E44"/>
    <mergeCell ref="F44:G44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" t="s">
        <v>0</v>
      </c>
      <c r="B1" s="2"/>
      <c r="C1" s="1" t="s">
        <v>1</v>
      </c>
      <c r="D1" s="3"/>
      <c r="E1" s="3"/>
      <c r="F1" s="3"/>
      <c r="G1" s="3"/>
      <c r="H1" s="2"/>
      <c r="I1" s="4" t="s">
        <v>2</v>
      </c>
      <c r="J1" s="5"/>
      <c r="K1" s="6"/>
    </row>
    <row r="2">
      <c r="A2" s="7"/>
      <c r="B2" s="8"/>
      <c r="C2" s="7"/>
      <c r="H2" s="8"/>
      <c r="I2" s="4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4" t="s">
        <v>4</v>
      </c>
      <c r="J3" s="5"/>
      <c r="K3" s="12"/>
      <c r="L3" s="13"/>
      <c r="M3" s="13"/>
      <c r="N3" s="13"/>
      <c r="O3" s="13"/>
      <c r="P3" s="13"/>
    </row>
    <row r="4">
      <c r="A4" s="14" t="s">
        <v>5</v>
      </c>
      <c r="B4" s="4" t="s">
        <v>6</v>
      </c>
      <c r="C4" s="15"/>
      <c r="D4" s="15"/>
      <c r="E4" s="15"/>
      <c r="F4" s="5"/>
      <c r="G4" s="16"/>
      <c r="H4" s="5"/>
      <c r="I4" s="17"/>
      <c r="J4" s="17"/>
      <c r="K4" s="12"/>
      <c r="L4" s="13"/>
      <c r="M4" s="13"/>
      <c r="N4" s="13"/>
      <c r="O4" s="13"/>
      <c r="P4" s="13"/>
    </row>
    <row r="5">
      <c r="A5" s="18" t="s">
        <v>7</v>
      </c>
      <c r="B5" s="19" t="s">
        <v>8</v>
      </c>
      <c r="C5" s="15"/>
      <c r="D5" s="15"/>
      <c r="E5" s="5"/>
      <c r="F5" s="20" t="s">
        <v>9</v>
      </c>
      <c r="G5" s="21"/>
      <c r="H5" s="22"/>
      <c r="I5" s="22"/>
      <c r="J5" s="22"/>
      <c r="K5" s="12"/>
      <c r="L5" s="13"/>
      <c r="M5" s="13"/>
      <c r="N5" s="13"/>
      <c r="O5" s="13"/>
      <c r="P5" s="13"/>
    </row>
    <row r="6">
      <c r="A6" s="14" t="s">
        <v>10</v>
      </c>
      <c r="B6" s="19" t="s">
        <v>11</v>
      </c>
      <c r="C6" s="15"/>
      <c r="D6" s="15"/>
      <c r="E6" s="5"/>
      <c r="F6" s="23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24" t="s">
        <v>13</v>
      </c>
      <c r="B7" s="5"/>
      <c r="C7" s="24" t="s">
        <v>14</v>
      </c>
      <c r="D7" s="5"/>
      <c r="E7" s="25" t="s">
        <v>15</v>
      </c>
      <c r="F7" s="24" t="s">
        <v>16</v>
      </c>
      <c r="G7" s="5"/>
      <c r="H7" s="26" t="s">
        <v>17</v>
      </c>
      <c r="I7" s="24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25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12"/>
      <c r="L8" s="29"/>
      <c r="M8" s="13"/>
      <c r="N8" s="13"/>
      <c r="O8" s="13"/>
      <c r="P8" s="13"/>
      <c r="Q8" s="13"/>
      <c r="R8" s="13"/>
      <c r="S8" s="13"/>
    </row>
    <row r="9">
      <c r="A9" s="30">
        <v>2.0</v>
      </c>
      <c r="B9" s="27" t="s">
        <v>24</v>
      </c>
      <c r="C9" s="28">
        <v>0.35</v>
      </c>
      <c r="D9" s="5"/>
      <c r="E9" s="28">
        <v>0.6138888888888889</v>
      </c>
      <c r="F9" s="5"/>
      <c r="G9" s="28">
        <v>0.6604166666666667</v>
      </c>
      <c r="H9" s="5"/>
      <c r="I9" s="28">
        <v>0.7479166666666667</v>
      </c>
      <c r="J9" s="5"/>
      <c r="K9" s="12"/>
      <c r="L9" s="29">
        <v>0.0</v>
      </c>
      <c r="M9" s="31"/>
      <c r="N9" s="13"/>
      <c r="O9" s="13"/>
      <c r="P9" s="13"/>
      <c r="Q9" s="13"/>
      <c r="R9" s="13"/>
      <c r="S9" s="13"/>
    </row>
    <row r="10">
      <c r="A10" s="30">
        <v>3.0</v>
      </c>
      <c r="B10" s="32" t="s">
        <v>58</v>
      </c>
      <c r="C10" s="28">
        <v>0.3486111111111111</v>
      </c>
      <c r="D10" s="5"/>
      <c r="E10" s="28">
        <v>0.5555555555555556</v>
      </c>
      <c r="F10" s="5"/>
      <c r="G10" s="28">
        <v>0.6020833333333333</v>
      </c>
      <c r="H10" s="5"/>
      <c r="I10" s="28">
        <v>0.7479166666666667</v>
      </c>
      <c r="J10" s="5"/>
      <c r="K10" s="12"/>
      <c r="L10" s="29">
        <v>0.0</v>
      </c>
      <c r="M10" s="31"/>
      <c r="N10" s="13"/>
      <c r="O10" s="13"/>
      <c r="P10" s="13"/>
      <c r="Q10" s="13"/>
      <c r="R10" s="13"/>
      <c r="S10" s="13"/>
    </row>
    <row r="11">
      <c r="A11" s="30">
        <v>4.0</v>
      </c>
      <c r="B11" s="33" t="s">
        <v>18</v>
      </c>
      <c r="C11" s="28">
        <v>0.3486111111111111</v>
      </c>
      <c r="D11" s="5"/>
      <c r="E11" s="28">
        <v>0.5541666666666667</v>
      </c>
      <c r="F11" s="5"/>
      <c r="G11" s="28">
        <v>0.6013888888888889</v>
      </c>
      <c r="H11" s="5"/>
      <c r="I11" s="28">
        <v>0.7472222222222222</v>
      </c>
      <c r="J11" s="5"/>
      <c r="K11" s="12"/>
      <c r="L11" s="29">
        <v>0.0</v>
      </c>
      <c r="M11" s="13"/>
      <c r="N11" s="13"/>
      <c r="O11" s="13"/>
      <c r="P11" s="13"/>
      <c r="Q11" s="13"/>
      <c r="R11" s="13"/>
      <c r="S11" s="13"/>
    </row>
    <row r="12">
      <c r="A12" s="30">
        <v>5.0</v>
      </c>
      <c r="B12" s="27" t="s">
        <v>19</v>
      </c>
      <c r="C12" s="28">
        <v>0.35138888888888886</v>
      </c>
      <c r="D12" s="5"/>
      <c r="E12" s="28">
        <v>0.5548611111111111</v>
      </c>
      <c r="F12" s="5"/>
      <c r="G12" s="28">
        <v>0.6027777777777777</v>
      </c>
      <c r="H12" s="5"/>
      <c r="I12" s="28">
        <v>0.7479166666666667</v>
      </c>
      <c r="J12" s="5"/>
      <c r="K12" s="12"/>
      <c r="L12" s="29">
        <v>0.0</v>
      </c>
      <c r="M12" s="13"/>
      <c r="N12" s="29"/>
      <c r="O12" s="35"/>
      <c r="P12" s="29"/>
      <c r="Q12" s="13"/>
      <c r="R12" s="13"/>
      <c r="S12" s="13"/>
    </row>
    <row r="13">
      <c r="A13" s="30">
        <v>6.0</v>
      </c>
      <c r="B13" s="32" t="s">
        <v>20</v>
      </c>
      <c r="C13" s="28">
        <v>0.35</v>
      </c>
      <c r="D13" s="5"/>
      <c r="E13" s="28">
        <v>0.5645833333333333</v>
      </c>
      <c r="F13" s="5"/>
      <c r="G13" s="28">
        <v>0.6083333333333333</v>
      </c>
      <c r="H13" s="5"/>
      <c r="I13" s="28">
        <v>0.7479166666666667</v>
      </c>
      <c r="J13" s="5"/>
      <c r="K13" s="12"/>
      <c r="L13" s="29">
        <v>0.0</v>
      </c>
      <c r="M13" s="29"/>
      <c r="N13" s="29"/>
      <c r="O13" s="29"/>
      <c r="P13" s="13"/>
      <c r="Q13" s="13"/>
      <c r="R13" s="13"/>
      <c r="S13" s="13"/>
    </row>
    <row r="14">
      <c r="A14" s="30">
        <v>7.0</v>
      </c>
      <c r="B14" s="33" t="s">
        <v>21</v>
      </c>
      <c r="C14" s="36">
        <v>0.3326388888888889</v>
      </c>
      <c r="D14" s="5"/>
      <c r="E14" s="36"/>
      <c r="F14" s="5"/>
      <c r="G14" s="36"/>
      <c r="H14" s="5"/>
      <c r="I14" s="36">
        <v>0.5097222222222222</v>
      </c>
      <c r="J14" s="5"/>
      <c r="K14" s="12"/>
      <c r="L14" s="29">
        <v>15.0</v>
      </c>
      <c r="M14" s="13"/>
      <c r="N14" s="31"/>
      <c r="O14" s="35"/>
      <c r="P14" s="37"/>
      <c r="Q14" s="13"/>
      <c r="R14" s="13"/>
    </row>
    <row r="15">
      <c r="A15" s="30">
        <v>8.0</v>
      </c>
      <c r="B15" s="33" t="s">
        <v>23</v>
      </c>
      <c r="C15" s="36"/>
      <c r="D15" s="5"/>
      <c r="E15" s="28"/>
      <c r="F15" s="5"/>
      <c r="G15" s="28"/>
      <c r="H15" s="5"/>
      <c r="I15" s="28"/>
      <c r="J15" s="5"/>
      <c r="K15" s="38"/>
      <c r="L15" s="29"/>
      <c r="M15" s="13"/>
      <c r="N15" s="29"/>
      <c r="O15" s="35"/>
      <c r="P15" s="29"/>
      <c r="Q15" s="13"/>
      <c r="R15" s="13"/>
      <c r="S15" s="13"/>
    </row>
    <row r="16">
      <c r="A16" s="30">
        <v>9.0</v>
      </c>
      <c r="B16" s="27" t="s">
        <v>24</v>
      </c>
      <c r="C16" s="28">
        <v>0.3486111111111111</v>
      </c>
      <c r="D16" s="5"/>
      <c r="E16" s="28">
        <v>0.5590277777777778</v>
      </c>
      <c r="F16" s="5"/>
      <c r="G16" s="28">
        <v>0.6055555555555555</v>
      </c>
      <c r="H16" s="5"/>
      <c r="I16" s="28">
        <v>0.7465277777777778</v>
      </c>
      <c r="J16" s="5"/>
      <c r="K16" s="12"/>
      <c r="L16" s="29">
        <v>0.0</v>
      </c>
      <c r="M16" s="13"/>
      <c r="N16" s="31" t="s">
        <v>59</v>
      </c>
      <c r="O16" s="29">
        <v>15.0</v>
      </c>
      <c r="P16" s="29"/>
      <c r="Q16" s="13"/>
      <c r="R16" s="13"/>
      <c r="S16" s="13"/>
    </row>
    <row r="17">
      <c r="A17" s="30">
        <v>10.0</v>
      </c>
      <c r="B17" s="32" t="s">
        <v>58</v>
      </c>
      <c r="C17" s="36">
        <v>0.35138888888888886</v>
      </c>
      <c r="D17" s="5"/>
      <c r="E17" s="36">
        <v>0.5659722222222222</v>
      </c>
      <c r="F17" s="5"/>
      <c r="G17" s="36">
        <v>0.6152777777777778</v>
      </c>
      <c r="H17" s="5"/>
      <c r="I17" s="36">
        <v>0.7534722222222222</v>
      </c>
      <c r="J17" s="5"/>
      <c r="K17" s="12"/>
      <c r="L17" s="29">
        <v>0.0</v>
      </c>
      <c r="M17" s="29"/>
      <c r="N17" s="31"/>
      <c r="O17" s="35"/>
      <c r="P17" s="13"/>
      <c r="Q17" s="13"/>
      <c r="R17" s="13"/>
      <c r="S17" s="13"/>
    </row>
    <row r="18">
      <c r="A18" s="30">
        <v>11.0</v>
      </c>
      <c r="B18" s="33" t="s">
        <v>18</v>
      </c>
      <c r="C18" s="28">
        <v>0.35</v>
      </c>
      <c r="D18" s="5"/>
      <c r="E18" s="28">
        <v>0.5513888888888889</v>
      </c>
      <c r="F18" s="5"/>
      <c r="G18" s="28">
        <v>0.5993055555555555</v>
      </c>
      <c r="H18" s="5"/>
      <c r="I18" s="28">
        <v>0.7444444444444445</v>
      </c>
      <c r="J18" s="5"/>
      <c r="K18" s="12"/>
      <c r="L18" s="142">
        <v>-6.0</v>
      </c>
      <c r="M18" s="29"/>
      <c r="N18" s="31"/>
      <c r="O18" s="35"/>
      <c r="P18" s="29"/>
      <c r="Q18" s="13"/>
      <c r="R18" s="13"/>
    </row>
    <row r="19">
      <c r="A19" s="30">
        <v>12.0</v>
      </c>
      <c r="B19" s="27" t="s">
        <v>19</v>
      </c>
      <c r="C19" s="28">
        <v>0.35208333333333336</v>
      </c>
      <c r="D19" s="5"/>
      <c r="E19" s="28">
        <v>0.5465277777777777</v>
      </c>
      <c r="F19" s="5"/>
      <c r="G19" s="28">
        <v>0.5930555555555556</v>
      </c>
      <c r="H19" s="5"/>
      <c r="I19" s="28">
        <v>0.7472222222222222</v>
      </c>
      <c r="J19" s="5"/>
      <c r="K19" s="12"/>
      <c r="L19" s="39">
        <v>0.0</v>
      </c>
      <c r="M19" s="29"/>
      <c r="N19" s="31" t="s">
        <v>59</v>
      </c>
      <c r="O19" s="29">
        <v>15.0</v>
      </c>
      <c r="P19" s="29">
        <v>-6.0</v>
      </c>
      <c r="Q19" s="13"/>
      <c r="R19" s="13"/>
      <c r="S19" s="13"/>
    </row>
    <row r="20">
      <c r="A20" s="30">
        <v>13.0</v>
      </c>
      <c r="B20" s="32" t="s">
        <v>20</v>
      </c>
      <c r="C20" s="36">
        <v>0.35</v>
      </c>
      <c r="D20" s="5"/>
      <c r="E20" s="36">
        <v>0.5611111111111111</v>
      </c>
      <c r="F20" s="5"/>
      <c r="G20" s="36">
        <v>0.6097222222222223</v>
      </c>
      <c r="H20" s="5"/>
      <c r="I20" s="36">
        <v>0.7444444444444445</v>
      </c>
      <c r="J20" s="5"/>
      <c r="K20" s="12"/>
      <c r="L20" s="29">
        <v>-7.0</v>
      </c>
      <c r="M20" s="13"/>
      <c r="N20" s="31"/>
      <c r="O20" s="35"/>
      <c r="P20" s="29"/>
      <c r="Q20" s="13"/>
      <c r="R20" s="13"/>
      <c r="S20" s="29"/>
    </row>
    <row r="21">
      <c r="A21" s="30">
        <v>14.0</v>
      </c>
      <c r="B21" s="33" t="s">
        <v>21</v>
      </c>
      <c r="C21" s="36">
        <v>0.33055555555555555</v>
      </c>
      <c r="D21" s="5"/>
      <c r="E21" s="36"/>
      <c r="F21" s="5"/>
      <c r="G21" s="36"/>
      <c r="H21" s="5"/>
      <c r="I21" s="36">
        <v>0.5013888888888889</v>
      </c>
      <c r="J21" s="5"/>
      <c r="K21" s="12"/>
      <c r="L21" s="29">
        <v>6.0</v>
      </c>
      <c r="M21" s="13"/>
      <c r="N21" s="29"/>
      <c r="O21" s="35"/>
      <c r="P21" s="13"/>
      <c r="Q21" s="13"/>
      <c r="R21" s="13"/>
      <c r="S21" s="29"/>
    </row>
    <row r="22">
      <c r="A22" s="30">
        <v>15.0</v>
      </c>
      <c r="B22" s="33" t="s">
        <v>23</v>
      </c>
      <c r="C22" s="36"/>
      <c r="D22" s="5"/>
      <c r="E22" s="36"/>
      <c r="F22" s="5"/>
      <c r="G22" s="36"/>
      <c r="H22" s="5"/>
      <c r="I22" s="36"/>
      <c r="J22" s="5"/>
      <c r="K22" s="12"/>
      <c r="L22" s="29"/>
      <c r="M22" s="29"/>
      <c r="N22" s="31"/>
      <c r="O22" s="29"/>
      <c r="P22" s="13"/>
      <c r="Q22" s="13"/>
      <c r="R22" s="13"/>
      <c r="S22" s="13"/>
    </row>
    <row r="23">
      <c r="A23" s="30">
        <v>16.0</v>
      </c>
      <c r="B23" s="32" t="s">
        <v>24</v>
      </c>
      <c r="C23" s="36">
        <v>0.34930555555555554</v>
      </c>
      <c r="D23" s="5"/>
      <c r="E23" s="28">
        <v>0.5701388888888889</v>
      </c>
      <c r="F23" s="5"/>
      <c r="G23" s="28">
        <v>0.6166666666666667</v>
      </c>
      <c r="H23" s="5"/>
      <c r="I23" s="28">
        <v>0.7520833333333333</v>
      </c>
      <c r="J23" s="5"/>
      <c r="K23" s="12"/>
      <c r="L23" s="29">
        <v>8.0</v>
      </c>
      <c r="M23" s="13"/>
      <c r="N23" s="29"/>
      <c r="O23" s="35"/>
      <c r="P23" s="13"/>
      <c r="Q23" s="13"/>
      <c r="R23" s="13"/>
      <c r="S23" s="29"/>
    </row>
    <row r="24">
      <c r="A24" s="30">
        <v>17.0</v>
      </c>
      <c r="B24" s="33" t="s">
        <v>58</v>
      </c>
      <c r="C24" s="28">
        <v>0.35</v>
      </c>
      <c r="D24" s="5"/>
      <c r="E24" s="28">
        <v>0.5652777777777778</v>
      </c>
      <c r="F24" s="5"/>
      <c r="G24" s="28">
        <v>0.6118055555555556</v>
      </c>
      <c r="H24" s="5"/>
      <c r="I24" s="28">
        <v>0.7451388888888889</v>
      </c>
      <c r="J24" s="5"/>
      <c r="K24" s="12"/>
      <c r="L24" s="29">
        <v>0.0</v>
      </c>
      <c r="M24" s="13"/>
      <c r="O24" s="35"/>
      <c r="P24" s="29"/>
      <c r="Q24" s="13"/>
      <c r="R24" s="13"/>
      <c r="S24" s="13"/>
    </row>
    <row r="25">
      <c r="A25" s="30">
        <v>18.0</v>
      </c>
      <c r="B25" s="33" t="s">
        <v>18</v>
      </c>
      <c r="C25" s="36">
        <v>0.35</v>
      </c>
      <c r="D25" s="5"/>
      <c r="E25" s="28">
        <v>0.5013888888888889</v>
      </c>
      <c r="F25" s="5"/>
      <c r="G25" s="28">
        <v>0.5444444444444444</v>
      </c>
      <c r="H25" s="5"/>
      <c r="I25" s="28">
        <v>0.7465277777777778</v>
      </c>
      <c r="J25" s="5"/>
      <c r="K25" s="12"/>
      <c r="L25" s="29">
        <v>0.0</v>
      </c>
      <c r="M25" s="13"/>
      <c r="N25" s="31" t="s">
        <v>59</v>
      </c>
      <c r="O25" s="35">
        <v>0.02013888888888889</v>
      </c>
      <c r="P25" s="29">
        <v>-13.0</v>
      </c>
      <c r="Q25" s="13"/>
      <c r="R25" s="13"/>
      <c r="S25" s="13"/>
    </row>
    <row r="26">
      <c r="A26" s="30">
        <v>19.0</v>
      </c>
      <c r="B26" s="32" t="s">
        <v>19</v>
      </c>
      <c r="C26" s="28">
        <v>0.35</v>
      </c>
      <c r="D26" s="5"/>
      <c r="E26" s="28">
        <v>0.5430555555555555</v>
      </c>
      <c r="F26" s="5"/>
      <c r="G26" s="28">
        <v>0.5895833333333333</v>
      </c>
      <c r="H26" s="5"/>
      <c r="I26" s="28">
        <v>0.7506944444444444</v>
      </c>
      <c r="J26" s="5"/>
      <c r="K26" s="40"/>
      <c r="L26" s="29">
        <v>0.0</v>
      </c>
      <c r="M26" s="29"/>
      <c r="N26" s="31"/>
      <c r="O26" s="35"/>
      <c r="P26" s="29"/>
      <c r="Q26" s="13"/>
      <c r="R26" s="13"/>
      <c r="S26" s="29"/>
    </row>
    <row r="27">
      <c r="A27" s="30">
        <v>20.0</v>
      </c>
      <c r="B27" s="33" t="s">
        <v>20</v>
      </c>
      <c r="C27" s="36">
        <v>0.34930555555555554</v>
      </c>
      <c r="D27" s="5"/>
      <c r="E27" s="36">
        <v>0.5625</v>
      </c>
      <c r="F27" s="5"/>
      <c r="G27" s="36">
        <v>0.6138888888888889</v>
      </c>
      <c r="H27" s="5"/>
      <c r="I27" s="36">
        <v>0.7451388888888889</v>
      </c>
      <c r="J27" s="5"/>
      <c r="K27" s="12"/>
      <c r="L27" s="29">
        <v>-9.0</v>
      </c>
      <c r="M27" s="13"/>
      <c r="N27" s="13"/>
      <c r="O27" s="13"/>
      <c r="P27" s="13"/>
      <c r="Q27" s="13"/>
      <c r="R27" s="13"/>
      <c r="S27" s="13"/>
    </row>
    <row r="28">
      <c r="A28" s="30">
        <v>21.0</v>
      </c>
      <c r="B28" s="33" t="s">
        <v>21</v>
      </c>
      <c r="C28" s="28"/>
      <c r="D28" s="5"/>
      <c r="E28" s="28"/>
      <c r="F28" s="5"/>
      <c r="G28" s="28"/>
      <c r="H28" s="5"/>
      <c r="I28" s="28"/>
      <c r="J28" s="5"/>
      <c r="K28" s="12"/>
      <c r="L28" s="29"/>
      <c r="M28" s="29"/>
      <c r="N28" s="29"/>
      <c r="O28" s="35"/>
      <c r="P28" s="13"/>
      <c r="Q28" s="13"/>
      <c r="R28" s="13"/>
      <c r="S28" s="29"/>
    </row>
    <row r="29">
      <c r="A29" s="30">
        <v>22.0</v>
      </c>
      <c r="B29" s="33" t="s">
        <v>23</v>
      </c>
      <c r="C29" s="28"/>
      <c r="D29" s="5"/>
      <c r="E29" s="28"/>
      <c r="F29" s="5"/>
      <c r="G29" s="28"/>
      <c r="H29" s="5"/>
      <c r="I29" s="28"/>
      <c r="J29" s="5"/>
      <c r="K29" s="12"/>
      <c r="L29" s="29"/>
      <c r="M29" s="13"/>
      <c r="N29" s="29"/>
      <c r="O29" s="35"/>
      <c r="P29" s="13"/>
      <c r="Q29" s="13"/>
      <c r="R29" s="13"/>
      <c r="S29" s="29"/>
    </row>
    <row r="30">
      <c r="A30" s="30">
        <v>23.0</v>
      </c>
      <c r="B30" s="32" t="s">
        <v>24</v>
      </c>
      <c r="C30" s="36">
        <v>0.34097222222222223</v>
      </c>
      <c r="D30" s="5"/>
      <c r="E30" s="36">
        <v>0.5479166666666667</v>
      </c>
      <c r="F30" s="5"/>
      <c r="G30" s="36">
        <v>0.5944444444444444</v>
      </c>
      <c r="H30" s="5"/>
      <c r="I30" s="36">
        <v>0.7465277777777778</v>
      </c>
      <c r="J30" s="5"/>
      <c r="K30" s="12"/>
      <c r="L30" s="29">
        <v>12.0</v>
      </c>
      <c r="M30" s="13"/>
      <c r="N30" s="31" t="s">
        <v>59</v>
      </c>
      <c r="O30" s="41">
        <v>0.02847222222222222</v>
      </c>
      <c r="P30" s="142">
        <v>-22.0</v>
      </c>
      <c r="Q30" s="13"/>
      <c r="R30" s="13"/>
      <c r="S30" s="13"/>
    </row>
    <row r="31">
      <c r="A31" s="30">
        <v>24.0</v>
      </c>
      <c r="B31" s="33" t="s">
        <v>58</v>
      </c>
      <c r="C31" s="36">
        <v>0.3486111111111111</v>
      </c>
      <c r="D31" s="5"/>
      <c r="E31" s="36">
        <v>0.5506944444444445</v>
      </c>
      <c r="F31" s="5"/>
      <c r="G31" s="42">
        <v>0.5965277777777778</v>
      </c>
      <c r="H31" s="5"/>
      <c r="I31" s="36">
        <v>0.7479166666666667</v>
      </c>
      <c r="J31" s="5"/>
      <c r="K31" s="12"/>
      <c r="L31" s="29">
        <v>0.0</v>
      </c>
      <c r="M31" s="13"/>
      <c r="N31" s="13"/>
      <c r="O31" s="13"/>
      <c r="P31" s="13"/>
      <c r="Q31" s="13"/>
      <c r="R31" s="13"/>
      <c r="S31" s="13"/>
    </row>
    <row r="32">
      <c r="A32" s="30">
        <v>25.0</v>
      </c>
      <c r="B32" s="33" t="s">
        <v>18</v>
      </c>
      <c r="C32" s="36">
        <v>0.34791666666666665</v>
      </c>
      <c r="D32" s="5"/>
      <c r="E32" s="36">
        <v>0.5826388888888889</v>
      </c>
      <c r="F32" s="5"/>
      <c r="G32" s="36">
        <v>0.6291666666666667</v>
      </c>
      <c r="H32" s="5"/>
      <c r="I32" s="36">
        <v>0.7472222222222222</v>
      </c>
      <c r="J32" s="5"/>
      <c r="K32" s="12"/>
      <c r="L32" s="142">
        <v>0.0</v>
      </c>
      <c r="M32" s="13"/>
      <c r="N32" s="31"/>
      <c r="O32" s="35"/>
      <c r="P32" s="29"/>
      <c r="Q32" s="13"/>
      <c r="R32" s="13"/>
      <c r="S32" s="13"/>
    </row>
    <row r="33">
      <c r="A33" s="30">
        <v>26.0</v>
      </c>
      <c r="B33" s="33" t="s">
        <v>19</v>
      </c>
      <c r="C33" s="36">
        <v>0.34930555555555554</v>
      </c>
      <c r="D33" s="5"/>
      <c r="E33" s="36">
        <v>0.5527777777777778</v>
      </c>
      <c r="F33" s="5"/>
      <c r="G33" s="36">
        <v>0.5972222222222222</v>
      </c>
      <c r="H33" s="5"/>
      <c r="I33" s="36">
        <v>0.7486111111111111</v>
      </c>
      <c r="J33" s="5"/>
      <c r="K33" s="12"/>
      <c r="L33" s="29">
        <v>0.0</v>
      </c>
      <c r="M33" s="29"/>
      <c r="N33" s="31"/>
      <c r="O33" s="43"/>
      <c r="P33" s="29"/>
      <c r="Q33" s="13"/>
      <c r="R33" s="13"/>
      <c r="S33" s="13"/>
    </row>
    <row r="34">
      <c r="A34" s="30">
        <v>27.0</v>
      </c>
      <c r="B34" s="33" t="s">
        <v>20</v>
      </c>
      <c r="C34" s="36">
        <v>0.34930555555555554</v>
      </c>
      <c r="D34" s="5"/>
      <c r="E34" s="36">
        <v>0.5763888888888888</v>
      </c>
      <c r="F34" s="5"/>
      <c r="G34" s="36">
        <v>0.6222222222222222</v>
      </c>
      <c r="H34" s="5"/>
      <c r="I34" s="36">
        <v>0.74375</v>
      </c>
      <c r="J34" s="5"/>
      <c r="K34" s="12"/>
      <c r="L34" s="29">
        <v>0.0</v>
      </c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30">
        <v>28.0</v>
      </c>
      <c r="B35" s="33" t="s">
        <v>21</v>
      </c>
      <c r="C35" s="36"/>
      <c r="D35" s="5"/>
      <c r="E35" s="28"/>
      <c r="F35" s="5"/>
      <c r="G35" s="28"/>
      <c r="H35" s="5"/>
      <c r="I35" s="28"/>
      <c r="J35" s="5"/>
      <c r="K35" s="13"/>
      <c r="L35" s="29"/>
      <c r="M35" s="46"/>
      <c r="N35" s="31"/>
      <c r="O35" s="35"/>
      <c r="P35" s="29"/>
      <c r="Q35" s="13"/>
      <c r="R35" s="13"/>
      <c r="S35" s="29"/>
      <c r="T35" s="13"/>
      <c r="U35" s="13"/>
      <c r="V35" s="13"/>
    </row>
    <row r="36">
      <c r="A36" s="30">
        <v>29.0</v>
      </c>
      <c r="B36" s="33" t="s">
        <v>30</v>
      </c>
      <c r="C36" s="36"/>
      <c r="D36" s="5"/>
      <c r="E36" s="36"/>
      <c r="F36" s="5"/>
      <c r="G36" s="36"/>
      <c r="H36" s="5"/>
      <c r="I36" s="36"/>
      <c r="J36" s="5"/>
      <c r="K36" s="6"/>
      <c r="L36" s="13"/>
      <c r="M36" s="13"/>
      <c r="N36" s="31"/>
      <c r="O36" s="43"/>
      <c r="P36" s="13"/>
      <c r="Q36" s="13"/>
      <c r="R36" s="13"/>
      <c r="S36" s="13"/>
    </row>
    <row r="37">
      <c r="A37" s="30">
        <v>30.0</v>
      </c>
      <c r="B37" s="33" t="s">
        <v>24</v>
      </c>
      <c r="C37" s="36">
        <v>0.3472222222222222</v>
      </c>
      <c r="D37" s="5"/>
      <c r="E37" s="36">
        <v>0.5520833333333334</v>
      </c>
      <c r="F37" s="5"/>
      <c r="G37" s="36">
        <v>0.5930555555555556</v>
      </c>
      <c r="H37" s="5"/>
      <c r="I37" s="36">
        <v>0.7451388888888889</v>
      </c>
      <c r="J37" s="5"/>
      <c r="K37" s="6"/>
      <c r="L37" s="29">
        <v>9.0</v>
      </c>
      <c r="M37" s="13"/>
      <c r="N37" s="13"/>
      <c r="O37" s="13"/>
      <c r="P37" s="13"/>
      <c r="Q37" s="13"/>
      <c r="R37" s="13"/>
      <c r="S37" s="13"/>
    </row>
    <row r="38">
      <c r="A38" s="30">
        <v>31.0</v>
      </c>
      <c r="B38" s="33" t="s">
        <v>25</v>
      </c>
      <c r="C38" s="36">
        <v>0.3472222222222222</v>
      </c>
      <c r="D38" s="5"/>
      <c r="E38" s="28">
        <v>0.5486111111111112</v>
      </c>
      <c r="F38" s="5"/>
      <c r="G38" s="28">
        <v>0.5958333333333333</v>
      </c>
      <c r="H38" s="5"/>
      <c r="I38" s="28">
        <v>0.7451388888888889</v>
      </c>
      <c r="J38" s="5"/>
      <c r="K38" s="6"/>
      <c r="L38" s="29">
        <v>0.0</v>
      </c>
      <c r="M38" s="13"/>
      <c r="N38" s="31" t="s">
        <v>59</v>
      </c>
      <c r="O38" s="35">
        <v>0.034722222222222224</v>
      </c>
      <c r="P38" s="29">
        <v>-22.0</v>
      </c>
      <c r="Q38" s="13"/>
      <c r="R38" s="13"/>
      <c r="S38" s="13"/>
    </row>
    <row r="39">
      <c r="A39" s="47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M39" s="13"/>
      <c r="N39" s="13"/>
      <c r="O39" s="13"/>
      <c r="P39" s="13"/>
      <c r="Q39" s="13"/>
      <c r="R39" s="13"/>
      <c r="S39" s="13"/>
    </row>
    <row r="40">
      <c r="A40" s="48" t="s">
        <v>32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M40" s="13"/>
      <c r="N40" s="13"/>
      <c r="O40" s="13"/>
      <c r="P40" s="13"/>
      <c r="Q40" s="13"/>
      <c r="R40" s="13"/>
      <c r="S40" s="13"/>
    </row>
    <row r="41">
      <c r="A41" s="49" t="s">
        <v>33</v>
      </c>
      <c r="B41" s="15"/>
      <c r="C41" s="15"/>
      <c r="D41" s="15"/>
      <c r="E41" s="15"/>
      <c r="F41" s="15"/>
      <c r="G41" s="15"/>
      <c r="H41" s="15"/>
      <c r="I41" s="15"/>
      <c r="J41" s="5"/>
    </row>
    <row r="42">
      <c r="A42" s="50" t="s">
        <v>34</v>
      </c>
      <c r="B42" s="3"/>
      <c r="C42" s="3"/>
      <c r="D42" s="3"/>
      <c r="E42" s="3"/>
      <c r="F42" s="3"/>
      <c r="G42" s="3"/>
      <c r="H42" s="3"/>
      <c r="I42" s="3"/>
      <c r="J42" s="2"/>
      <c r="L42" s="41"/>
    </row>
    <row r="43">
      <c r="A43" s="51" t="s">
        <v>35</v>
      </c>
      <c r="B43" s="52"/>
      <c r="C43" s="52"/>
      <c r="D43" s="52"/>
      <c r="E43" s="52"/>
      <c r="F43" s="52"/>
      <c r="G43" s="3"/>
      <c r="H43" s="52"/>
      <c r="I43" s="52"/>
      <c r="J43" s="53"/>
    </row>
    <row r="44">
      <c r="A44" s="54" t="s">
        <v>36</v>
      </c>
      <c r="B44" s="55"/>
      <c r="C44" s="56" t="s">
        <v>37</v>
      </c>
      <c r="D44" s="55"/>
      <c r="F44" s="55"/>
      <c r="H44" s="55"/>
      <c r="I44" s="55"/>
      <c r="J44" s="57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</sheetData>
  <mergeCells count="14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5:E45"/>
    <mergeCell ref="F45:G45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9" t="s">
        <v>11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25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12"/>
      <c r="L8" s="89">
        <v>0.0</v>
      </c>
      <c r="M8" s="90">
        <v>0.0</v>
      </c>
      <c r="N8" s="91"/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30">
        <v>2.0</v>
      </c>
      <c r="B9" s="27" t="s">
        <v>24</v>
      </c>
      <c r="C9" s="34" t="s">
        <v>60</v>
      </c>
      <c r="D9" s="15"/>
      <c r="E9" s="15"/>
      <c r="F9" s="15"/>
      <c r="G9" s="15"/>
      <c r="H9" s="15"/>
      <c r="I9" s="15"/>
      <c r="J9" s="5"/>
      <c r="K9" s="86"/>
      <c r="L9" s="89">
        <v>0.0</v>
      </c>
      <c r="M9" s="89">
        <v>0.0</v>
      </c>
      <c r="N9" s="89">
        <v>0.0</v>
      </c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30">
        <v>3.0</v>
      </c>
      <c r="B10" s="32" t="s">
        <v>58</v>
      </c>
      <c r="C10" s="143" t="s">
        <v>60</v>
      </c>
      <c r="D10" s="15"/>
      <c r="E10" s="15"/>
      <c r="F10" s="15"/>
      <c r="G10" s="15"/>
      <c r="H10" s="15"/>
      <c r="I10" s="15"/>
      <c r="J10" s="5"/>
      <c r="K10" s="12"/>
      <c r="L10" s="90">
        <f>(E12-C12)+(I12-G12)</f>
        <v>0.3451388889</v>
      </c>
      <c r="M10" s="89">
        <v>0.0</v>
      </c>
      <c r="N10" s="91">
        <f>+IF(($M$3-L10)&gt;$M$4,$M$3-L10,0)</f>
        <v>0</v>
      </c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30">
        <v>4.0</v>
      </c>
      <c r="B11" s="33" t="s">
        <v>18</v>
      </c>
      <c r="C11" s="34" t="s">
        <v>60</v>
      </c>
      <c r="D11" s="15"/>
      <c r="E11" s="15"/>
      <c r="F11" s="15"/>
      <c r="G11" s="15"/>
      <c r="H11" s="15"/>
      <c r="I11" s="15"/>
      <c r="J11" s="5"/>
      <c r="K11" s="12"/>
      <c r="L11" s="89">
        <v>0.0</v>
      </c>
      <c r="M11" s="89">
        <v>0.0</v>
      </c>
      <c r="N11" s="89">
        <v>0.0</v>
      </c>
      <c r="O11" s="13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30">
        <v>5.0</v>
      </c>
      <c r="B12" s="27" t="s">
        <v>19</v>
      </c>
      <c r="C12" s="28">
        <v>0.3611111111111111</v>
      </c>
      <c r="D12" s="5"/>
      <c r="E12" s="28">
        <v>0.5409722222222222</v>
      </c>
      <c r="F12" s="5"/>
      <c r="G12" s="28">
        <v>0.5819444444444445</v>
      </c>
      <c r="H12" s="5"/>
      <c r="I12" s="28">
        <v>0.7472222222222222</v>
      </c>
      <c r="J12" s="5"/>
      <c r="K12" s="12"/>
      <c r="L12" s="90">
        <f t="shared" ref="L12:L22" si="1">(E12-C12)+(I12-G12)</f>
        <v>0.3451388889</v>
      </c>
      <c r="M12" s="92">
        <f t="shared" ref="M12:M20" si="2">IF((L12-$M$3)&gt;$M$4,L12-$M$3,0)</f>
        <v>0.01180555556</v>
      </c>
      <c r="N12" s="91">
        <f t="shared" ref="N12:N13" si="3">+IF(($M$3-L12)&gt;$M$4,$M$3-L12,0)</f>
        <v>0</v>
      </c>
      <c r="O12" s="13"/>
      <c r="R12" s="29"/>
      <c r="S12" s="29"/>
      <c r="T12" s="13"/>
      <c r="U12" s="13"/>
      <c r="V12" s="13"/>
      <c r="W12" s="13"/>
      <c r="X12" s="13"/>
    </row>
    <row r="13">
      <c r="A13" s="30">
        <v>6.0</v>
      </c>
      <c r="B13" s="32" t="s">
        <v>20</v>
      </c>
      <c r="C13" s="28">
        <v>0.3798611111111111</v>
      </c>
      <c r="D13" s="5"/>
      <c r="E13" s="28">
        <v>0.5395833333333333</v>
      </c>
      <c r="F13" s="5"/>
      <c r="G13" s="28">
        <v>0.6215277777777778</v>
      </c>
      <c r="H13" s="5"/>
      <c r="I13" s="28">
        <v>0.7493055555555556</v>
      </c>
      <c r="J13" s="5"/>
      <c r="K13" s="12"/>
      <c r="L13" s="90">
        <f t="shared" si="1"/>
        <v>0.2875</v>
      </c>
      <c r="M13" s="91">
        <f t="shared" si="2"/>
        <v>0</v>
      </c>
      <c r="N13" s="92">
        <f t="shared" si="3"/>
        <v>0.04583333333</v>
      </c>
      <c r="O13" s="31"/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30">
        <v>7.0</v>
      </c>
      <c r="B14" s="33" t="s">
        <v>21</v>
      </c>
      <c r="C14" s="36">
        <v>0.33611111111111114</v>
      </c>
      <c r="D14" s="5"/>
      <c r="E14" s="36"/>
      <c r="F14" s="5"/>
      <c r="G14" s="36"/>
      <c r="H14" s="5"/>
      <c r="I14" s="36">
        <v>0.4979166666666667</v>
      </c>
      <c r="J14" s="5"/>
      <c r="K14" s="12"/>
      <c r="L14" s="83">
        <f t="shared" si="1"/>
        <v>0.1618055556</v>
      </c>
      <c r="M14" s="83">
        <f t="shared" si="2"/>
        <v>0</v>
      </c>
      <c r="N14" s="87">
        <v>0.004861111111111111</v>
      </c>
      <c r="O14" s="13"/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30">
        <v>8.0</v>
      </c>
      <c r="B15" s="33" t="s">
        <v>23</v>
      </c>
      <c r="C15" s="36"/>
      <c r="D15" s="5"/>
      <c r="E15" s="28"/>
      <c r="F15" s="5"/>
      <c r="G15" s="28"/>
      <c r="H15" s="5"/>
      <c r="I15" s="28"/>
      <c r="J15" s="5"/>
      <c r="K15" s="12"/>
      <c r="L15" s="90">
        <f t="shared" si="1"/>
        <v>0</v>
      </c>
      <c r="M15" s="91">
        <f t="shared" si="2"/>
        <v>0</v>
      </c>
      <c r="N15" s="89">
        <v>0.0</v>
      </c>
      <c r="O15" s="13"/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30">
        <v>9.0</v>
      </c>
      <c r="B16" s="27" t="s">
        <v>24</v>
      </c>
      <c r="C16" s="28">
        <v>0.34791666666666665</v>
      </c>
      <c r="D16" s="5"/>
      <c r="E16" s="28">
        <v>0.5465277777777777</v>
      </c>
      <c r="F16" s="5"/>
      <c r="G16" s="100"/>
      <c r="H16" s="5"/>
      <c r="I16" s="28">
        <v>0.7472222222222222</v>
      </c>
      <c r="J16" s="5"/>
      <c r="K16" s="12"/>
      <c r="L16" s="90">
        <f t="shared" si="1"/>
        <v>0.9458333333</v>
      </c>
      <c r="M16" s="92">
        <f t="shared" si="2"/>
        <v>0.6125</v>
      </c>
      <c r="N16" s="91">
        <f t="shared" ref="N16:N20" si="4">+IF(($M$3-L16)&gt;$M$4,$M$3-L16,0)</f>
        <v>0</v>
      </c>
      <c r="O16" s="13"/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30">
        <v>10.0</v>
      </c>
      <c r="B17" s="32" t="s">
        <v>58</v>
      </c>
      <c r="C17" s="36">
        <v>0.35138888888888886</v>
      </c>
      <c r="D17" s="5"/>
      <c r="E17" s="36">
        <v>0.5145833333333333</v>
      </c>
      <c r="F17" s="5"/>
      <c r="G17" s="36">
        <v>0.5555555555555556</v>
      </c>
      <c r="H17" s="5"/>
      <c r="I17" s="36">
        <v>0.7534722222222222</v>
      </c>
      <c r="J17" s="5"/>
      <c r="K17" s="46"/>
      <c r="L17" s="90">
        <f t="shared" si="1"/>
        <v>0.3611111111</v>
      </c>
      <c r="M17" s="92">
        <f t="shared" si="2"/>
        <v>0.02777777778</v>
      </c>
      <c r="N17" s="91">
        <f t="shared" si="4"/>
        <v>0</v>
      </c>
      <c r="O17" s="29"/>
      <c r="R17" s="35">
        <v>0.05138888888888889</v>
      </c>
      <c r="S17" s="29"/>
      <c r="T17" s="13"/>
      <c r="U17" s="13"/>
      <c r="V17" s="13"/>
      <c r="W17" s="13"/>
      <c r="X17" s="13"/>
    </row>
    <row r="18">
      <c r="A18" s="30">
        <v>11.0</v>
      </c>
      <c r="B18" s="33" t="s">
        <v>18</v>
      </c>
      <c r="C18" s="28">
        <v>0.35</v>
      </c>
      <c r="D18" s="5"/>
      <c r="E18" s="28">
        <v>0.5458333333333333</v>
      </c>
      <c r="F18" s="5"/>
      <c r="G18" s="28">
        <v>0.5840277777777778</v>
      </c>
      <c r="H18" s="5"/>
      <c r="I18" s="28">
        <v>0.7444444444444445</v>
      </c>
      <c r="J18" s="5"/>
      <c r="K18" s="12"/>
      <c r="L18" s="90">
        <f t="shared" si="1"/>
        <v>0.35625</v>
      </c>
      <c r="M18" s="92">
        <f t="shared" si="2"/>
        <v>0.02291666667</v>
      </c>
      <c r="N18" s="91">
        <f t="shared" si="4"/>
        <v>0</v>
      </c>
      <c r="O18" s="29"/>
      <c r="R18" s="29">
        <v>0.0</v>
      </c>
      <c r="S18" s="29"/>
      <c r="T18" s="29"/>
      <c r="U18" s="37"/>
      <c r="V18" s="35"/>
      <c r="W18" s="13"/>
      <c r="X18" s="13"/>
    </row>
    <row r="19">
      <c r="A19" s="30">
        <v>12.0</v>
      </c>
      <c r="B19" s="27" t="s">
        <v>19</v>
      </c>
      <c r="C19" s="28">
        <v>0.35208333333333336</v>
      </c>
      <c r="D19" s="5"/>
      <c r="E19" s="28">
        <v>0.5416666666666666</v>
      </c>
      <c r="F19" s="5"/>
      <c r="G19" s="28">
        <v>0.58125</v>
      </c>
      <c r="H19" s="5"/>
      <c r="I19" s="28">
        <v>0.7430555555555556</v>
      </c>
      <c r="J19" s="5"/>
      <c r="K19" s="12"/>
      <c r="L19" s="90">
        <f t="shared" si="1"/>
        <v>0.3513888889</v>
      </c>
      <c r="M19" s="92">
        <f t="shared" si="2"/>
        <v>0.01805555556</v>
      </c>
      <c r="N19" s="91">
        <f t="shared" si="4"/>
        <v>0</v>
      </c>
      <c r="O19" s="13"/>
      <c r="R19" s="29"/>
      <c r="S19" s="29"/>
      <c r="T19" s="29"/>
      <c r="U19" s="37"/>
      <c r="V19" s="35"/>
      <c r="W19" s="13"/>
      <c r="X19" s="13"/>
    </row>
    <row r="20">
      <c r="A20" s="30">
        <v>13.0</v>
      </c>
      <c r="B20" s="32" t="s">
        <v>20</v>
      </c>
      <c r="C20" s="36">
        <v>0.35</v>
      </c>
      <c r="D20" s="5"/>
      <c r="E20" s="36">
        <v>0.55</v>
      </c>
      <c r="F20" s="5"/>
      <c r="G20" s="36">
        <v>0.5902777777777778</v>
      </c>
      <c r="H20" s="5"/>
      <c r="I20" s="36">
        <v>0.7444444444444445</v>
      </c>
      <c r="J20" s="5"/>
      <c r="K20" s="12"/>
      <c r="L20" s="90">
        <f t="shared" si="1"/>
        <v>0.3541666667</v>
      </c>
      <c r="M20" s="92">
        <f t="shared" si="2"/>
        <v>0.02083333333</v>
      </c>
      <c r="N20" s="91">
        <f t="shared" si="4"/>
        <v>0</v>
      </c>
      <c r="O20" s="29"/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30">
        <v>14.0</v>
      </c>
      <c r="B21" s="33" t="s">
        <v>21</v>
      </c>
      <c r="C21" s="36">
        <v>0.33055555555555555</v>
      </c>
      <c r="D21" s="5"/>
      <c r="E21" s="36"/>
      <c r="F21" s="5"/>
      <c r="G21" s="36"/>
      <c r="H21" s="5"/>
      <c r="I21" s="36">
        <v>0.5</v>
      </c>
      <c r="J21" s="5"/>
      <c r="K21" s="46"/>
      <c r="L21" s="90">
        <f t="shared" si="1"/>
        <v>0.1694444444</v>
      </c>
      <c r="M21" s="90">
        <v>0.0</v>
      </c>
      <c r="N21" s="89">
        <v>0.0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30">
        <v>15.0</v>
      </c>
      <c r="B22" s="33" t="s">
        <v>23</v>
      </c>
      <c r="C22" s="36"/>
      <c r="D22" s="5"/>
      <c r="E22" s="36"/>
      <c r="F22" s="5"/>
      <c r="G22" s="36"/>
      <c r="H22" s="5"/>
      <c r="I22" s="36"/>
      <c r="J22" s="5"/>
      <c r="K22" s="12"/>
      <c r="L22" s="90">
        <f t="shared" si="1"/>
        <v>0</v>
      </c>
      <c r="M22" s="91">
        <f t="shared" ref="M22:M27" si="5">IF((L22-$M$3)&gt;$M$4,L22-$M$3,0)</f>
        <v>0</v>
      </c>
      <c r="N22" s="89">
        <v>0.0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30">
        <v>16.0</v>
      </c>
      <c r="B23" s="32" t="s">
        <v>24</v>
      </c>
      <c r="C23" s="36">
        <v>0.35555555555555557</v>
      </c>
      <c r="D23" s="5"/>
      <c r="E23" s="28">
        <v>0.5375</v>
      </c>
      <c r="F23" s="5"/>
      <c r="G23" s="28">
        <v>0.6069444444444444</v>
      </c>
      <c r="H23" s="5"/>
      <c r="I23" s="28"/>
      <c r="J23" s="5"/>
      <c r="K23" s="12"/>
      <c r="L23" s="90">
        <v>0.18333333333333332</v>
      </c>
      <c r="M23" s="91">
        <f t="shared" si="5"/>
        <v>0</v>
      </c>
      <c r="N23" s="92">
        <f t="shared" ref="N23:N27" si="6">+IF(($M$3-L23)&gt;$M$4,$M$3-L23,0)</f>
        <v>0.15</v>
      </c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30">
        <v>17.0</v>
      </c>
      <c r="B24" s="33" t="s">
        <v>58</v>
      </c>
      <c r="C24" s="28">
        <v>0.35</v>
      </c>
      <c r="D24" s="5"/>
      <c r="E24" s="28">
        <v>0.5375</v>
      </c>
      <c r="F24" s="5"/>
      <c r="G24" s="28">
        <v>0.5777777777777777</v>
      </c>
      <c r="H24" s="5"/>
      <c r="I24" s="28">
        <v>0.7451388888888889</v>
      </c>
      <c r="J24" s="5"/>
      <c r="K24" s="12"/>
      <c r="L24" s="90">
        <f t="shared" ref="L24:L27" si="7">(E24-C24)+(I24-G24)</f>
        <v>0.3548611111</v>
      </c>
      <c r="M24" s="92">
        <f t="shared" si="5"/>
        <v>0.02152777778</v>
      </c>
      <c r="N24" s="91">
        <f t="shared" si="6"/>
        <v>0</v>
      </c>
      <c r="R24" s="29">
        <v>0.0</v>
      </c>
      <c r="S24" s="29"/>
      <c r="T24" s="29"/>
      <c r="U24" s="13"/>
      <c r="V24" s="35"/>
      <c r="W24" s="35"/>
      <c r="X24" s="29"/>
    </row>
    <row r="25">
      <c r="A25" s="30">
        <v>18.0</v>
      </c>
      <c r="B25" s="33" t="s">
        <v>18</v>
      </c>
      <c r="C25" s="36">
        <v>0.35</v>
      </c>
      <c r="D25" s="5"/>
      <c r="E25" s="28">
        <v>0.5416666666666666</v>
      </c>
      <c r="F25" s="5"/>
      <c r="G25" s="28">
        <v>0.5819444444444445</v>
      </c>
      <c r="H25" s="5"/>
      <c r="I25" s="28">
        <v>0.7465277777777778</v>
      </c>
      <c r="J25" s="5"/>
      <c r="K25" s="38"/>
      <c r="L25" s="90">
        <f t="shared" si="7"/>
        <v>0.35625</v>
      </c>
      <c r="M25" s="92">
        <f t="shared" si="5"/>
        <v>0.02291666667</v>
      </c>
      <c r="N25" s="91">
        <f t="shared" si="6"/>
        <v>0</v>
      </c>
      <c r="R25" s="29" t="s">
        <v>46</v>
      </c>
      <c r="S25" s="29"/>
      <c r="T25" s="29"/>
      <c r="U25" s="37"/>
      <c r="V25" s="35"/>
      <c r="W25" s="35"/>
      <c r="X25" s="13"/>
    </row>
    <row r="26">
      <c r="A26" s="30">
        <v>19.0</v>
      </c>
      <c r="B26" s="32" t="s">
        <v>19</v>
      </c>
      <c r="C26" s="28">
        <v>0.35</v>
      </c>
      <c r="D26" s="5"/>
      <c r="E26" s="28">
        <v>0.5409722222222222</v>
      </c>
      <c r="F26" s="5"/>
      <c r="G26" s="28">
        <v>0.5833333333333334</v>
      </c>
      <c r="H26" s="5"/>
      <c r="I26" s="28">
        <v>0.7520833333333333</v>
      </c>
      <c r="J26" s="5"/>
      <c r="K26" s="40"/>
      <c r="L26" s="90">
        <f t="shared" si="7"/>
        <v>0.3597222222</v>
      </c>
      <c r="M26" s="92">
        <f t="shared" si="5"/>
        <v>0.02638888889</v>
      </c>
      <c r="N26" s="91">
        <f t="shared" si="6"/>
        <v>0</v>
      </c>
      <c r="R26" s="29"/>
      <c r="S26" s="29"/>
      <c r="T26" s="29"/>
      <c r="U26" s="37"/>
      <c r="V26" s="35"/>
      <c r="W26" s="13"/>
      <c r="X26" s="13"/>
    </row>
    <row r="27">
      <c r="A27" s="30">
        <v>20.0</v>
      </c>
      <c r="B27" s="33" t="s">
        <v>20</v>
      </c>
      <c r="C27" s="36">
        <v>0.34930555555555554</v>
      </c>
      <c r="D27" s="5"/>
      <c r="E27" s="36">
        <v>0.54375</v>
      </c>
      <c r="F27" s="5"/>
      <c r="G27" s="36">
        <v>0.5881944444444445</v>
      </c>
      <c r="H27" s="5"/>
      <c r="I27" s="36">
        <v>0.7409722222222223</v>
      </c>
      <c r="J27" s="5"/>
      <c r="K27" s="12"/>
      <c r="L27" s="90">
        <f t="shared" si="7"/>
        <v>0.3472222222</v>
      </c>
      <c r="M27" s="92">
        <f t="shared" si="5"/>
        <v>0.01388888889</v>
      </c>
      <c r="N27" s="91">
        <f t="shared" si="6"/>
        <v>0</v>
      </c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30">
        <v>21.0</v>
      </c>
      <c r="B28" s="33" t="s">
        <v>21</v>
      </c>
      <c r="C28" s="28">
        <v>0.33125</v>
      </c>
      <c r="D28" s="5"/>
      <c r="E28" s="28"/>
      <c r="F28" s="5"/>
      <c r="G28" s="28"/>
      <c r="H28" s="5"/>
      <c r="I28" s="28">
        <v>0.4951388888888889</v>
      </c>
      <c r="J28" s="5"/>
      <c r="K28" s="12"/>
      <c r="L28" s="84">
        <v>0.0</v>
      </c>
      <c r="M28" s="84">
        <v>0.0</v>
      </c>
      <c r="N28" s="84">
        <v>0.0</v>
      </c>
      <c r="P28" s="98"/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30">
        <v>22.0</v>
      </c>
      <c r="B29" s="33" t="s">
        <v>23</v>
      </c>
      <c r="C29" s="28"/>
      <c r="D29" s="5"/>
      <c r="E29" s="28"/>
      <c r="F29" s="5"/>
      <c r="G29" s="28"/>
      <c r="H29" s="5"/>
      <c r="I29" s="28"/>
      <c r="J29" s="5"/>
      <c r="K29" s="12"/>
      <c r="L29" s="83">
        <f t="shared" ref="L29:L35" si="8">(E29-C29)+(I29-G29)</f>
        <v>0</v>
      </c>
      <c r="M29" s="83">
        <f t="shared" ref="M29:M34" si="9">IF((L29-$M$3)&gt;$M$4,L29-$M$3,0)</f>
        <v>0</v>
      </c>
      <c r="N29" s="84">
        <v>0.0</v>
      </c>
      <c r="R29" s="29"/>
      <c r="S29" s="29"/>
      <c r="T29" s="13"/>
      <c r="U29" s="13"/>
      <c r="V29" s="13"/>
      <c r="W29" s="13"/>
      <c r="X29" s="13"/>
    </row>
    <row r="30">
      <c r="A30" s="30">
        <v>23.0</v>
      </c>
      <c r="B30" s="32" t="s">
        <v>24</v>
      </c>
      <c r="C30" s="36">
        <v>0.34097222222222223</v>
      </c>
      <c r="D30" s="5"/>
      <c r="E30" s="36">
        <v>0.4861111111111111</v>
      </c>
      <c r="F30" s="5"/>
      <c r="G30" s="36">
        <v>0.5416666666666666</v>
      </c>
      <c r="H30" s="5"/>
      <c r="I30" s="36">
        <v>0.7083333333333334</v>
      </c>
      <c r="J30" s="5"/>
      <c r="K30" s="12"/>
      <c r="L30" s="90">
        <f t="shared" si="8"/>
        <v>0.3118055556</v>
      </c>
      <c r="M30" s="91">
        <f t="shared" si="9"/>
        <v>0</v>
      </c>
      <c r="N30" s="92">
        <f t="shared" ref="N30:N34" si="10">+IF(($M$3-L30)&gt;$M$4,$M$3-L30,0)</f>
        <v>0.02152777778</v>
      </c>
      <c r="R30" s="29"/>
      <c r="S30" s="29"/>
      <c r="T30" s="29"/>
      <c r="U30" s="37"/>
      <c r="V30" s="29">
        <v>5.3</v>
      </c>
      <c r="W30" s="13"/>
      <c r="X30" s="13"/>
    </row>
    <row r="31">
      <c r="A31" s="30">
        <v>24.0</v>
      </c>
      <c r="B31" s="33" t="s">
        <v>58</v>
      </c>
      <c r="C31" s="36">
        <v>0.3486111111111111</v>
      </c>
      <c r="D31" s="5"/>
      <c r="E31" s="36">
        <v>0.5</v>
      </c>
      <c r="F31" s="5"/>
      <c r="G31" s="99">
        <v>0.5458333333333333</v>
      </c>
      <c r="H31" s="5"/>
      <c r="I31" s="36">
        <v>0.7479166666666667</v>
      </c>
      <c r="J31" s="5"/>
      <c r="K31" s="12"/>
      <c r="L31" s="90">
        <f t="shared" si="8"/>
        <v>0.3534722222</v>
      </c>
      <c r="M31" s="92">
        <f t="shared" si="9"/>
        <v>0.02013888889</v>
      </c>
      <c r="N31" s="91">
        <f t="shared" si="10"/>
        <v>0</v>
      </c>
      <c r="P31" s="35"/>
      <c r="Q31" s="13"/>
      <c r="R31" s="13"/>
    </row>
    <row r="32">
      <c r="A32" s="30">
        <v>25.0</v>
      </c>
      <c r="B32" s="33" t="s">
        <v>18</v>
      </c>
      <c r="C32" s="36">
        <v>0.34791666666666665</v>
      </c>
      <c r="D32" s="5"/>
      <c r="E32" s="36">
        <v>0.5111111111111111</v>
      </c>
      <c r="F32" s="5"/>
      <c r="G32" s="36">
        <v>0.5541666666666667</v>
      </c>
      <c r="H32" s="5"/>
      <c r="I32" s="36">
        <v>0.7465277777777778</v>
      </c>
      <c r="J32" s="5"/>
      <c r="K32" s="12"/>
      <c r="L32" s="90">
        <f t="shared" si="8"/>
        <v>0.3555555556</v>
      </c>
      <c r="M32" s="92">
        <f t="shared" si="9"/>
        <v>0.02222222222</v>
      </c>
      <c r="N32" s="91">
        <f t="shared" si="10"/>
        <v>0</v>
      </c>
      <c r="P32" s="35"/>
      <c r="Q32" s="29"/>
      <c r="R32" s="29"/>
    </row>
    <row r="33">
      <c r="A33" s="30">
        <v>26.0</v>
      </c>
      <c r="B33" s="33" t="s">
        <v>19</v>
      </c>
      <c r="C33" s="36">
        <v>0.34930555555555554</v>
      </c>
      <c r="D33" s="5"/>
      <c r="E33" s="36">
        <v>0.5013888888888889</v>
      </c>
      <c r="F33" s="5"/>
      <c r="G33" s="36">
        <v>0.55</v>
      </c>
      <c r="H33" s="5"/>
      <c r="I33" s="36">
        <v>0.7493055555555556</v>
      </c>
      <c r="J33" s="5"/>
      <c r="K33" s="46"/>
      <c r="L33" s="90">
        <f t="shared" si="8"/>
        <v>0.3513888889</v>
      </c>
      <c r="M33" s="92">
        <f t="shared" si="9"/>
        <v>0.01805555556</v>
      </c>
      <c r="N33" s="91">
        <f t="shared" si="10"/>
        <v>0</v>
      </c>
      <c r="O33" s="31"/>
      <c r="P33" s="35"/>
      <c r="Q33" s="13"/>
      <c r="R33" s="13"/>
    </row>
    <row r="34">
      <c r="A34" s="30">
        <v>27.0</v>
      </c>
      <c r="B34" s="33" t="s">
        <v>20</v>
      </c>
      <c r="C34" s="36">
        <v>0.34930555555555554</v>
      </c>
      <c r="D34" s="5"/>
      <c r="E34" s="36">
        <v>0.49930555555555556</v>
      </c>
      <c r="F34" s="5"/>
      <c r="G34" s="36">
        <v>0.5416666666666666</v>
      </c>
      <c r="H34" s="5"/>
      <c r="I34" s="36">
        <v>0.7423611111111111</v>
      </c>
      <c r="J34" s="5"/>
      <c r="K34" s="46"/>
      <c r="L34" s="90">
        <f t="shared" si="8"/>
        <v>0.3506944444</v>
      </c>
      <c r="M34" s="92">
        <f t="shared" si="9"/>
        <v>0.01736111111</v>
      </c>
      <c r="N34" s="91">
        <f t="shared" si="10"/>
        <v>0</v>
      </c>
      <c r="P34" s="13"/>
      <c r="Q34" s="13"/>
      <c r="R34" s="13"/>
    </row>
    <row r="35">
      <c r="A35" s="30">
        <v>28.0</v>
      </c>
      <c r="B35" s="33" t="s">
        <v>21</v>
      </c>
      <c r="C35" s="36">
        <v>0.3298611111111111</v>
      </c>
      <c r="D35" s="5"/>
      <c r="E35" s="28"/>
      <c r="F35" s="5"/>
      <c r="G35" s="28"/>
      <c r="H35" s="5"/>
      <c r="I35" s="100"/>
      <c r="J35" s="5"/>
      <c r="K35" s="46"/>
      <c r="L35" s="83">
        <f t="shared" si="8"/>
        <v>-0.3298611111</v>
      </c>
      <c r="M35" s="84">
        <v>0.0</v>
      </c>
      <c r="N35" s="84">
        <v>0.0</v>
      </c>
      <c r="P35" s="35"/>
      <c r="Q35" s="13"/>
      <c r="R35" s="43"/>
      <c r="S35" s="101"/>
    </row>
    <row r="36">
      <c r="A36" s="30">
        <v>29.0</v>
      </c>
      <c r="B36" s="33" t="s">
        <v>30</v>
      </c>
      <c r="C36" s="36"/>
      <c r="D36" s="5"/>
      <c r="E36" s="36"/>
      <c r="F36" s="5"/>
      <c r="G36" s="36"/>
      <c r="H36" s="5"/>
      <c r="I36" s="36"/>
      <c r="J36" s="5"/>
      <c r="K36" s="12"/>
      <c r="L36" s="84">
        <v>0.0</v>
      </c>
      <c r="M36" s="84">
        <v>0.0</v>
      </c>
      <c r="N36" s="84">
        <v>0.0</v>
      </c>
      <c r="O36" s="29"/>
      <c r="Q36" s="13"/>
      <c r="R36" s="29"/>
      <c r="S36" s="37"/>
    </row>
    <row r="37">
      <c r="A37" s="30">
        <v>30.0</v>
      </c>
      <c r="B37" s="33" t="s">
        <v>24</v>
      </c>
      <c r="C37" s="36">
        <v>0.3472222222222222</v>
      </c>
      <c r="D37" s="5"/>
      <c r="E37" s="36">
        <v>0.5444444444444444</v>
      </c>
      <c r="F37" s="5"/>
      <c r="G37" s="36">
        <v>0.5868055555555556</v>
      </c>
      <c r="H37" s="5"/>
      <c r="I37" s="102">
        <v>0.7013888888888888</v>
      </c>
      <c r="J37" s="5"/>
      <c r="K37" s="12"/>
      <c r="L37" s="90">
        <f t="shared" ref="L37:L38" si="11">(E37-C37)+(I37-G37)</f>
        <v>0.3118055556</v>
      </c>
      <c r="M37" s="91">
        <f t="shared" ref="M37:M38" si="12">IF((L37-$M$3)&gt;$M$4,L37-$M$3,0)</f>
        <v>0</v>
      </c>
      <c r="N37" s="92">
        <f t="shared" ref="N37:N38" si="13">+IF(($M$3-L37)&gt;$M$4,$M$3-L37,0)</f>
        <v>0.02152777778</v>
      </c>
      <c r="P37" s="35"/>
      <c r="Q37" s="37"/>
      <c r="R37" s="35"/>
      <c r="S37" s="41"/>
    </row>
    <row r="38">
      <c r="A38" s="30">
        <v>31.0</v>
      </c>
      <c r="B38" s="33" t="s">
        <v>25</v>
      </c>
      <c r="C38" s="36">
        <v>0.3472222222222222</v>
      </c>
      <c r="D38" s="5"/>
      <c r="E38" s="28">
        <v>0.5006944444444444</v>
      </c>
      <c r="F38" s="5"/>
      <c r="G38" s="28">
        <v>0.5479166666666667</v>
      </c>
      <c r="H38" s="5"/>
      <c r="I38" s="28">
        <v>0.7451388888888889</v>
      </c>
      <c r="J38" s="5"/>
      <c r="K38" s="6"/>
      <c r="L38" s="90">
        <f t="shared" si="11"/>
        <v>0.3506944444</v>
      </c>
      <c r="M38" s="92">
        <f t="shared" si="12"/>
        <v>0.01736111111</v>
      </c>
      <c r="N38" s="91">
        <f t="shared" si="13"/>
        <v>0</v>
      </c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5">
        <f>SUM(M8:M38)</f>
        <v>0.89375</v>
      </c>
      <c r="N39" s="106">
        <v>0.24375</v>
      </c>
      <c r="O39" s="13"/>
      <c r="P39" s="13"/>
      <c r="Q39" s="13">
        <f>24-8</f>
        <v>16</v>
      </c>
      <c r="R39" s="13"/>
    </row>
    <row r="40">
      <c r="A40" s="107" t="s">
        <v>48</v>
      </c>
      <c r="B40" s="108"/>
      <c r="C40" s="108"/>
      <c r="D40" s="108"/>
      <c r="E40" s="15"/>
      <c r="F40" s="108"/>
      <c r="G40" s="15"/>
      <c r="H40" s="108"/>
      <c r="I40" s="108"/>
      <c r="J40" s="109"/>
      <c r="K40" s="12"/>
      <c r="L40" s="13"/>
      <c r="M40" s="13"/>
      <c r="N40" s="35"/>
      <c r="O40" s="13"/>
      <c r="P40" s="29"/>
      <c r="Q40" s="13"/>
    </row>
    <row r="41">
      <c r="A41" s="107" t="s">
        <v>49</v>
      </c>
      <c r="B41" s="108"/>
      <c r="C41" s="108"/>
      <c r="D41" s="108"/>
      <c r="E41" s="108"/>
      <c r="F41" s="108"/>
      <c r="G41" s="15"/>
      <c r="H41" s="108"/>
      <c r="I41" s="108"/>
      <c r="J41" s="109"/>
      <c r="K41" s="6"/>
      <c r="L41" s="13"/>
      <c r="M41" s="13"/>
      <c r="N41" s="13"/>
      <c r="O41" s="29"/>
      <c r="P41" s="35"/>
      <c r="Q41" s="29"/>
    </row>
    <row r="42">
      <c r="A42" s="107" t="s">
        <v>61</v>
      </c>
      <c r="B42" s="15"/>
      <c r="C42" s="15"/>
      <c r="D42" s="15"/>
      <c r="E42" s="15"/>
      <c r="F42" s="15"/>
      <c r="G42" s="15"/>
      <c r="H42" s="15"/>
      <c r="I42" s="15"/>
      <c r="J42" s="5"/>
      <c r="L42" s="13"/>
      <c r="M42" s="13"/>
      <c r="N42" s="29"/>
      <c r="O42" s="13"/>
      <c r="P42" s="13"/>
      <c r="Q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L43" s="13"/>
      <c r="M43" s="13"/>
      <c r="N43" s="35"/>
      <c r="O43" s="35"/>
      <c r="P43" s="13"/>
      <c r="Q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13"/>
      <c r="O44" s="13"/>
      <c r="P44" s="13"/>
      <c r="Q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L47" s="35"/>
      <c r="M47" s="13"/>
      <c r="N47" s="13"/>
      <c r="O47" s="13"/>
      <c r="P47" s="13"/>
      <c r="Q47" s="13"/>
    </row>
    <row r="48">
      <c r="L48" s="41"/>
      <c r="P48" s="13"/>
      <c r="Q48" s="13"/>
    </row>
  </sheetData>
  <mergeCells count="139"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C9:J9"/>
    <mergeCell ref="C10:J10"/>
    <mergeCell ref="C11:J11"/>
    <mergeCell ref="C12:D12"/>
    <mergeCell ref="E12:F12"/>
    <mergeCell ref="G12:H12"/>
    <mergeCell ref="I12:J12"/>
    <mergeCell ref="E13:F13"/>
    <mergeCell ref="G13:H13"/>
    <mergeCell ref="I13:J13"/>
    <mergeCell ref="G15:H15"/>
    <mergeCell ref="I15:J15"/>
    <mergeCell ref="C13:D13"/>
    <mergeCell ref="C14:D14"/>
    <mergeCell ref="E14:F14"/>
    <mergeCell ref="G14:H14"/>
    <mergeCell ref="I14:J14"/>
    <mergeCell ref="C15:D15"/>
    <mergeCell ref="E15:F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4:E44"/>
    <mergeCell ref="D45:E45"/>
    <mergeCell ref="F45:G45"/>
    <mergeCell ref="A39:J39"/>
    <mergeCell ref="D40:E40"/>
    <mergeCell ref="F40:G40"/>
    <mergeCell ref="F41:G41"/>
    <mergeCell ref="A42:J42"/>
    <mergeCell ref="F43:G43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9" t="s">
        <v>11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25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6"/>
      <c r="L8" s="90">
        <f t="shared" ref="L8:L35" si="1">(E8-C8)+(I8-G8)</f>
        <v>0</v>
      </c>
      <c r="M8" s="90">
        <v>0.0</v>
      </c>
      <c r="N8" s="90">
        <v>0.0</v>
      </c>
      <c r="S8" s="13"/>
      <c r="T8" s="29"/>
      <c r="U8" s="29"/>
      <c r="V8" s="13"/>
      <c r="W8" s="13"/>
      <c r="X8" s="13"/>
      <c r="Y8" s="13"/>
      <c r="Z8" s="13"/>
      <c r="AA8" s="13"/>
    </row>
    <row r="9">
      <c r="A9" s="30">
        <v>2.0</v>
      </c>
      <c r="B9" s="27" t="s">
        <v>24</v>
      </c>
      <c r="C9" s="28">
        <v>0.3659722222222222</v>
      </c>
      <c r="D9" s="5"/>
      <c r="E9" s="28">
        <v>0.46597222222222223</v>
      </c>
      <c r="F9" s="5"/>
      <c r="G9" s="28">
        <v>0.5791666666666667</v>
      </c>
      <c r="H9" s="5"/>
      <c r="I9" s="28">
        <v>0.7479166666666667</v>
      </c>
      <c r="J9" s="5"/>
      <c r="K9" s="6"/>
      <c r="L9" s="90">
        <f t="shared" si="1"/>
        <v>0.26875</v>
      </c>
      <c r="M9" s="90">
        <v>0.006944444444444444</v>
      </c>
      <c r="N9" s="89">
        <v>0.0</v>
      </c>
      <c r="O9" s="98" t="s">
        <v>62</v>
      </c>
      <c r="S9" s="13"/>
      <c r="T9" s="29"/>
      <c r="U9" s="29"/>
      <c r="V9" s="13"/>
      <c r="W9" s="13"/>
      <c r="X9" s="13"/>
      <c r="Y9" s="13"/>
      <c r="Z9" s="13"/>
      <c r="AA9" s="29"/>
    </row>
    <row r="10">
      <c r="A10" s="30">
        <v>3.0</v>
      </c>
      <c r="B10" s="32" t="s">
        <v>58</v>
      </c>
      <c r="C10" s="28">
        <v>0.3611111111111111</v>
      </c>
      <c r="D10" s="5"/>
      <c r="E10" s="28">
        <v>0.5104166666666666</v>
      </c>
      <c r="F10" s="5"/>
      <c r="G10" s="28">
        <v>0.5527777777777778</v>
      </c>
      <c r="H10" s="5"/>
      <c r="I10" s="28">
        <v>0.7479166666666667</v>
      </c>
      <c r="J10" s="5"/>
      <c r="K10" s="6"/>
      <c r="L10" s="90">
        <f t="shared" si="1"/>
        <v>0.3444444444</v>
      </c>
      <c r="M10" s="92">
        <f t="shared" ref="M10:M19" si="2">IF((L10-$M$3)&gt;$M$4,L10-$M$3,0)</f>
        <v>0.01111111111</v>
      </c>
      <c r="N10" s="91">
        <f>+IF(($M$3-L10)&gt;$M$4,$M$3-L10,0)</f>
        <v>0</v>
      </c>
      <c r="S10" s="13"/>
      <c r="T10" s="29"/>
      <c r="U10" s="29"/>
      <c r="V10" s="13"/>
      <c r="W10" s="13"/>
      <c r="X10" s="13"/>
      <c r="Y10" s="13"/>
      <c r="Z10" s="13"/>
      <c r="AA10" s="13"/>
    </row>
    <row r="11">
      <c r="A11" s="30">
        <v>4.0</v>
      </c>
      <c r="B11" s="33" t="s">
        <v>18</v>
      </c>
      <c r="C11" s="28">
        <v>0.36875</v>
      </c>
      <c r="D11" s="5"/>
      <c r="E11" s="28">
        <v>0.5027777777777778</v>
      </c>
      <c r="F11" s="5"/>
      <c r="G11" s="28">
        <v>0.5534722222222223</v>
      </c>
      <c r="H11" s="5"/>
      <c r="I11" s="28">
        <v>0.7472222222222222</v>
      </c>
      <c r="J11" s="5"/>
      <c r="K11" s="6"/>
      <c r="L11" s="90">
        <f t="shared" si="1"/>
        <v>0.3277777778</v>
      </c>
      <c r="M11" s="91">
        <f t="shared" si="2"/>
        <v>0</v>
      </c>
      <c r="N11" s="90">
        <v>0.005555555555555556</v>
      </c>
      <c r="O11" s="98"/>
      <c r="P11" s="29"/>
      <c r="S11" s="13"/>
      <c r="T11" s="29"/>
      <c r="U11" s="29"/>
      <c r="V11" s="13"/>
      <c r="W11" s="13"/>
      <c r="X11" s="13"/>
      <c r="Y11" s="13"/>
      <c r="Z11" s="13"/>
      <c r="AA11" s="13"/>
    </row>
    <row r="12">
      <c r="A12" s="30">
        <v>5.0</v>
      </c>
      <c r="B12" s="27" t="s">
        <v>19</v>
      </c>
      <c r="C12" s="28">
        <v>0.3611111111111111</v>
      </c>
      <c r="D12" s="5"/>
      <c r="E12" s="28">
        <v>0.5020833333333333</v>
      </c>
      <c r="F12" s="5"/>
      <c r="G12" s="28">
        <v>0.5520833333333334</v>
      </c>
      <c r="H12" s="5"/>
      <c r="I12" s="28">
        <v>0.7479166666666667</v>
      </c>
      <c r="J12" s="5"/>
      <c r="K12" s="6"/>
      <c r="L12" s="90">
        <f t="shared" si="1"/>
        <v>0.3368055556</v>
      </c>
      <c r="M12" s="91">
        <f t="shared" si="2"/>
        <v>0</v>
      </c>
      <c r="N12" s="91">
        <f t="shared" ref="N12:N13" si="3">+IF(($M$3-L12)&gt;$M$4,$M$3-L12,0)</f>
        <v>0</v>
      </c>
      <c r="S12" s="13"/>
      <c r="T12" s="29"/>
      <c r="U12" s="29"/>
      <c r="V12" s="13"/>
      <c r="W12" s="13"/>
      <c r="X12" s="13"/>
      <c r="Y12" s="13"/>
      <c r="Z12" s="13"/>
      <c r="AA12" s="13"/>
    </row>
    <row r="13">
      <c r="A13" s="30">
        <v>6.0</v>
      </c>
      <c r="B13" s="32" t="s">
        <v>20</v>
      </c>
      <c r="C13" s="28">
        <v>0.36875</v>
      </c>
      <c r="D13" s="5"/>
      <c r="E13" s="28">
        <v>0.50625</v>
      </c>
      <c r="F13" s="5"/>
      <c r="G13" s="28">
        <v>0.5506944444444445</v>
      </c>
      <c r="H13" s="5"/>
      <c r="I13" s="28">
        <v>0.75</v>
      </c>
      <c r="J13" s="5"/>
      <c r="K13" s="6"/>
      <c r="L13" s="90">
        <f t="shared" si="1"/>
        <v>0.3368055556</v>
      </c>
      <c r="M13" s="91">
        <f t="shared" si="2"/>
        <v>0</v>
      </c>
      <c r="N13" s="91">
        <f t="shared" si="3"/>
        <v>0</v>
      </c>
      <c r="S13" s="13"/>
      <c r="T13" s="29"/>
      <c r="U13" s="29"/>
      <c r="V13" s="29"/>
      <c r="W13" s="37"/>
      <c r="X13" s="35"/>
      <c r="Y13" s="13"/>
      <c r="Z13" s="13"/>
      <c r="AA13" s="13"/>
    </row>
    <row r="14">
      <c r="A14" s="30">
        <v>7.0</v>
      </c>
      <c r="B14" s="33" t="s">
        <v>21</v>
      </c>
      <c r="C14" s="36">
        <v>0.3375</v>
      </c>
      <c r="D14" s="5"/>
      <c r="E14" s="36"/>
      <c r="F14" s="5"/>
      <c r="G14" s="36"/>
      <c r="H14" s="5"/>
      <c r="I14" s="36">
        <v>0.47291666666666665</v>
      </c>
      <c r="J14" s="5"/>
      <c r="K14" s="124"/>
      <c r="L14" s="90">
        <f t="shared" si="1"/>
        <v>0.1354166667</v>
      </c>
      <c r="M14" s="91">
        <f t="shared" si="2"/>
        <v>0</v>
      </c>
      <c r="N14" s="90">
        <v>0.03125</v>
      </c>
      <c r="S14" s="13"/>
      <c r="T14" s="29"/>
      <c r="U14" s="29"/>
      <c r="V14" s="29"/>
      <c r="W14" s="35"/>
      <c r="X14" s="96"/>
      <c r="Y14" s="13"/>
      <c r="Z14" s="13"/>
      <c r="AA14" s="13"/>
    </row>
    <row r="15">
      <c r="A15" s="30">
        <v>8.0</v>
      </c>
      <c r="B15" s="33" t="s">
        <v>23</v>
      </c>
      <c r="C15" s="36"/>
      <c r="D15" s="5"/>
      <c r="E15" s="28"/>
      <c r="F15" s="5"/>
      <c r="G15" s="28"/>
      <c r="H15" s="5"/>
      <c r="I15" s="28"/>
      <c r="J15" s="5"/>
      <c r="K15" s="6"/>
      <c r="L15" s="90">
        <f t="shared" si="1"/>
        <v>0</v>
      </c>
      <c r="M15" s="91">
        <f t="shared" si="2"/>
        <v>0</v>
      </c>
      <c r="N15" s="89">
        <v>0.0</v>
      </c>
      <c r="S15" s="13"/>
      <c r="T15" s="29"/>
      <c r="U15" s="29"/>
      <c r="V15" s="29"/>
      <c r="W15" s="37"/>
      <c r="X15" s="35"/>
      <c r="Y15" s="13"/>
      <c r="Z15" s="13"/>
      <c r="AA15" s="13"/>
    </row>
    <row r="16">
      <c r="A16" s="30">
        <v>9.0</v>
      </c>
      <c r="B16" s="27" t="s">
        <v>24</v>
      </c>
      <c r="C16" s="28">
        <v>0.35555555555555557</v>
      </c>
      <c r="D16" s="5"/>
      <c r="E16" s="28">
        <v>0.5041666666666667</v>
      </c>
      <c r="F16" s="5"/>
      <c r="G16" s="28">
        <v>0.5569444444444445</v>
      </c>
      <c r="H16" s="5"/>
      <c r="I16" s="28">
        <v>0.7472222222222222</v>
      </c>
      <c r="J16" s="5"/>
      <c r="K16" s="6"/>
      <c r="L16" s="90">
        <f t="shared" si="1"/>
        <v>0.3388888889</v>
      </c>
      <c r="M16" s="91">
        <f t="shared" si="2"/>
        <v>0</v>
      </c>
      <c r="N16" s="89">
        <v>0.0</v>
      </c>
      <c r="S16" s="13"/>
      <c r="T16" s="29"/>
      <c r="U16" s="13"/>
      <c r="V16" s="13"/>
      <c r="W16" s="13"/>
      <c r="X16" s="13"/>
      <c r="Y16" s="13"/>
      <c r="Z16" s="13"/>
      <c r="AA16" s="13"/>
    </row>
    <row r="17">
      <c r="A17" s="30">
        <v>10.0</v>
      </c>
      <c r="B17" s="32" t="s">
        <v>58</v>
      </c>
      <c r="C17" s="36">
        <v>0.36527777777777776</v>
      </c>
      <c r="D17" s="5"/>
      <c r="E17" s="36">
        <v>0.5013888888888889</v>
      </c>
      <c r="F17" s="5"/>
      <c r="G17" s="36">
        <v>0.5638888888888889</v>
      </c>
      <c r="H17" s="5"/>
      <c r="I17" s="36">
        <v>0.7534722222222222</v>
      </c>
      <c r="J17" s="5"/>
      <c r="K17" s="6"/>
      <c r="L17" s="90">
        <f t="shared" si="1"/>
        <v>0.3256944444</v>
      </c>
      <c r="M17" s="91">
        <f t="shared" si="2"/>
        <v>0</v>
      </c>
      <c r="N17" s="92">
        <f>+IF(($M$3-L17)&gt;$M$4,$M$3-L17,0)</f>
        <v>0.007638888889</v>
      </c>
      <c r="P17" s="29"/>
      <c r="S17" s="13"/>
      <c r="T17" s="29"/>
      <c r="U17" s="13"/>
      <c r="V17" s="13"/>
      <c r="W17" s="13"/>
      <c r="X17" s="13"/>
      <c r="Y17" s="13"/>
      <c r="Z17" s="13"/>
      <c r="AA17" s="13"/>
    </row>
    <row r="18">
      <c r="A18" s="30">
        <v>11.0</v>
      </c>
      <c r="B18" s="33" t="s">
        <v>18</v>
      </c>
      <c r="C18" s="28">
        <v>0.3625</v>
      </c>
      <c r="D18" s="5"/>
      <c r="E18" s="28">
        <v>0.5034722222222222</v>
      </c>
      <c r="F18" s="5"/>
      <c r="G18" s="28">
        <v>0.55</v>
      </c>
      <c r="H18" s="5"/>
      <c r="I18" s="28">
        <v>0.7444444444444445</v>
      </c>
      <c r="J18" s="5"/>
      <c r="K18" s="6"/>
      <c r="L18" s="90">
        <f t="shared" si="1"/>
        <v>0.3354166667</v>
      </c>
      <c r="M18" s="91">
        <f t="shared" si="2"/>
        <v>0</v>
      </c>
      <c r="N18" s="89">
        <v>0.0</v>
      </c>
      <c r="S18" s="13"/>
      <c r="T18" s="29"/>
      <c r="U18" s="29"/>
      <c r="V18" s="29"/>
      <c r="W18" s="37"/>
      <c r="X18" s="35"/>
      <c r="Y18" s="13"/>
      <c r="Z18" s="13"/>
      <c r="AA18" s="29"/>
    </row>
    <row r="19">
      <c r="A19" s="30">
        <v>12.0</v>
      </c>
      <c r="B19" s="27" t="s">
        <v>19</v>
      </c>
      <c r="C19" s="28">
        <v>0.3590277777777778</v>
      </c>
      <c r="D19" s="5"/>
      <c r="E19" s="28">
        <v>0.5083333333333333</v>
      </c>
      <c r="F19" s="5"/>
      <c r="G19" s="28">
        <v>0.5444444444444444</v>
      </c>
      <c r="H19" s="5"/>
      <c r="I19" s="28">
        <v>0.7472222222222222</v>
      </c>
      <c r="J19" s="5"/>
      <c r="K19" s="6"/>
      <c r="L19" s="90">
        <f t="shared" si="1"/>
        <v>0.3520833333</v>
      </c>
      <c r="M19" s="92">
        <f t="shared" si="2"/>
        <v>0.01875</v>
      </c>
      <c r="N19" s="91">
        <f>+IF(($M$3-L19)&gt;$M$4,$M$3-L19,0)</f>
        <v>0</v>
      </c>
      <c r="S19" s="13"/>
      <c r="T19" s="29"/>
      <c r="U19" s="29"/>
      <c r="V19" s="29"/>
      <c r="W19" s="37"/>
      <c r="X19" s="35"/>
      <c r="Y19" s="13"/>
      <c r="Z19" s="13"/>
      <c r="AA19" s="13"/>
    </row>
    <row r="20">
      <c r="A20" s="30">
        <v>13.0</v>
      </c>
      <c r="B20" s="32" t="s">
        <v>20</v>
      </c>
      <c r="C20" s="36">
        <v>0.3645833333333333</v>
      </c>
      <c r="D20" s="5"/>
      <c r="E20" s="36">
        <v>0.5083333333333333</v>
      </c>
      <c r="F20" s="5"/>
      <c r="G20" s="36">
        <v>0.55</v>
      </c>
      <c r="H20" s="5"/>
      <c r="I20" s="36">
        <v>0.7444444444444445</v>
      </c>
      <c r="J20" s="5"/>
      <c r="K20" s="6"/>
      <c r="L20" s="90">
        <f t="shared" si="1"/>
        <v>0.3381944444</v>
      </c>
      <c r="M20" s="89">
        <v>0.0</v>
      </c>
      <c r="N20" s="89">
        <v>0.0</v>
      </c>
      <c r="O20" s="31"/>
      <c r="S20" s="13"/>
      <c r="T20" s="29"/>
      <c r="U20" s="29"/>
      <c r="V20" s="13"/>
      <c r="W20" s="13"/>
      <c r="X20" s="13"/>
      <c r="Y20" s="13"/>
      <c r="Z20" s="13"/>
      <c r="AA20" s="13"/>
    </row>
    <row r="21">
      <c r="A21" s="30">
        <v>14.0</v>
      </c>
      <c r="B21" s="33" t="s">
        <v>21</v>
      </c>
      <c r="C21" s="36">
        <v>0.33194444444444443</v>
      </c>
      <c r="D21" s="5"/>
      <c r="E21" s="36"/>
      <c r="F21" s="5"/>
      <c r="G21" s="36"/>
      <c r="H21" s="5"/>
      <c r="I21" s="36">
        <v>0.5013888888888889</v>
      </c>
      <c r="J21" s="5"/>
      <c r="K21" s="6"/>
      <c r="L21" s="90">
        <f t="shared" si="1"/>
        <v>0.1694444444</v>
      </c>
      <c r="M21" s="89">
        <v>0.0</v>
      </c>
      <c r="N21" s="89">
        <v>0.0</v>
      </c>
      <c r="S21" s="13"/>
      <c r="T21" s="96"/>
      <c r="U21" s="29"/>
      <c r="V21" s="13"/>
      <c r="W21" s="13"/>
      <c r="X21" s="13"/>
      <c r="Y21" s="13"/>
      <c r="Z21" s="13"/>
      <c r="AA21" s="13"/>
    </row>
    <row r="22">
      <c r="A22" s="30">
        <v>15.0</v>
      </c>
      <c r="B22" s="33" t="s">
        <v>23</v>
      </c>
      <c r="C22" s="36"/>
      <c r="D22" s="5"/>
      <c r="E22" s="36"/>
      <c r="F22" s="5"/>
      <c r="G22" s="36"/>
      <c r="H22" s="5"/>
      <c r="I22" s="36"/>
      <c r="J22" s="5"/>
      <c r="K22" s="6"/>
      <c r="L22" s="90">
        <f t="shared" si="1"/>
        <v>0</v>
      </c>
      <c r="M22" s="91">
        <f t="shared" ref="M22:M24" si="4">IF((L22-$M$3)&gt;$M$4,L22-$M$3,0)</f>
        <v>0</v>
      </c>
      <c r="N22" s="91"/>
      <c r="S22" s="13"/>
      <c r="T22" s="29"/>
      <c r="U22" s="29"/>
      <c r="V22" s="29"/>
      <c r="W22" s="31"/>
      <c r="X22" s="35"/>
      <c r="Y22" s="13"/>
      <c r="Z22" s="13"/>
      <c r="AA22" s="13"/>
    </row>
    <row r="23">
      <c r="A23" s="30">
        <v>16.0</v>
      </c>
      <c r="B23" s="32" t="s">
        <v>24</v>
      </c>
      <c r="C23" s="36">
        <v>0.37083333333333335</v>
      </c>
      <c r="D23" s="5"/>
      <c r="E23" s="28">
        <v>0.5152777777777777</v>
      </c>
      <c r="F23" s="5"/>
      <c r="G23" s="28">
        <v>0.5673611111111111</v>
      </c>
      <c r="H23" s="5"/>
      <c r="I23" s="28">
        <v>0.7534722222222222</v>
      </c>
      <c r="J23" s="5"/>
      <c r="K23" s="6"/>
      <c r="L23" s="90">
        <f t="shared" si="1"/>
        <v>0.3305555556</v>
      </c>
      <c r="M23" s="91">
        <f t="shared" si="4"/>
        <v>0</v>
      </c>
      <c r="N23" s="91">
        <f t="shared" ref="N23:N24" si="5">+IF(($M$3-L23)&gt;$M$4,$M$3-L23,0)</f>
        <v>0</v>
      </c>
      <c r="S23" s="13"/>
      <c r="T23" s="29"/>
      <c r="U23" s="29"/>
      <c r="V23" s="29"/>
      <c r="W23" s="35"/>
      <c r="X23" s="29"/>
      <c r="Y23" s="13"/>
      <c r="Z23" s="13"/>
      <c r="AA23" s="13"/>
    </row>
    <row r="24">
      <c r="A24" s="30">
        <v>17.0</v>
      </c>
      <c r="B24" s="33" t="s">
        <v>58</v>
      </c>
      <c r="C24" s="28">
        <v>0.38333333333333336</v>
      </c>
      <c r="D24" s="5"/>
      <c r="E24" s="28">
        <v>0.5611111111111111</v>
      </c>
      <c r="F24" s="5"/>
      <c r="G24" s="28">
        <v>0.6027777777777777</v>
      </c>
      <c r="H24" s="5"/>
      <c r="I24" s="28">
        <v>0.7458333333333333</v>
      </c>
      <c r="J24" s="5"/>
      <c r="K24" s="6"/>
      <c r="L24" s="90">
        <f t="shared" si="1"/>
        <v>0.3208333333</v>
      </c>
      <c r="M24" s="91">
        <f t="shared" si="4"/>
        <v>0</v>
      </c>
      <c r="N24" s="92">
        <f t="shared" si="5"/>
        <v>0.0125</v>
      </c>
      <c r="S24" s="13"/>
      <c r="T24" s="29"/>
      <c r="U24" s="29"/>
      <c r="V24" s="29"/>
      <c r="W24" s="37"/>
      <c r="X24" s="35"/>
      <c r="Y24" s="13"/>
      <c r="Z24" s="13"/>
      <c r="AA24" s="13"/>
    </row>
    <row r="25">
      <c r="A25" s="30">
        <v>18.0</v>
      </c>
      <c r="B25" s="33" t="s">
        <v>18</v>
      </c>
      <c r="C25" s="102">
        <v>0.3645833333333333</v>
      </c>
      <c r="D25" s="5"/>
      <c r="E25" s="28">
        <v>0.5493055555555556</v>
      </c>
      <c r="F25" s="5"/>
      <c r="G25" s="28"/>
      <c r="H25" s="5"/>
      <c r="I25" s="28"/>
      <c r="J25" s="5"/>
      <c r="K25" s="6"/>
      <c r="L25" s="90">
        <f t="shared" si="1"/>
        <v>0.1847222222</v>
      </c>
      <c r="M25" s="125">
        <v>0.0</v>
      </c>
      <c r="N25" s="126">
        <v>0.010416666666666666</v>
      </c>
      <c r="O25" s="98" t="s">
        <v>63</v>
      </c>
      <c r="S25" s="13"/>
      <c r="T25" s="29"/>
      <c r="U25" s="29"/>
      <c r="V25" s="13"/>
      <c r="W25" s="13"/>
      <c r="X25" s="13"/>
      <c r="Y25" s="13"/>
      <c r="Z25" s="13"/>
      <c r="AA25" s="13"/>
    </row>
    <row r="26">
      <c r="A26" s="30">
        <v>19.0</v>
      </c>
      <c r="B26" s="32" t="s">
        <v>19</v>
      </c>
      <c r="C26" s="28">
        <v>0.3680555555555556</v>
      </c>
      <c r="D26" s="5"/>
      <c r="E26" s="28">
        <v>0.5006944444444444</v>
      </c>
      <c r="F26" s="5"/>
      <c r="G26" s="28">
        <v>0.5416666666666666</v>
      </c>
      <c r="H26" s="5"/>
      <c r="I26" s="28">
        <v>0.7520833333333333</v>
      </c>
      <c r="J26" s="5"/>
      <c r="K26" s="127"/>
      <c r="L26" s="90">
        <f t="shared" si="1"/>
        <v>0.3430555556</v>
      </c>
      <c r="M26" s="92">
        <f t="shared" ref="M26:M35" si="6">IF((L26-$M$3)&gt;$M$4,L26-$M$3,0)</f>
        <v>0.009722222222</v>
      </c>
      <c r="N26" s="91">
        <f t="shared" ref="N26:N27" si="7">+IF(($M$3-L26)&gt;$M$4,$M$3-L26,0)</f>
        <v>0</v>
      </c>
      <c r="O26" s="98"/>
      <c r="S26" s="29"/>
      <c r="T26" s="29"/>
      <c r="U26" s="29"/>
      <c r="V26" s="96"/>
      <c r="W26" s="29"/>
      <c r="X26" s="35"/>
      <c r="Y26" s="13"/>
      <c r="Z26" s="13"/>
      <c r="AA26" s="29"/>
    </row>
    <row r="27">
      <c r="A27" s="30">
        <v>20.0</v>
      </c>
      <c r="B27" s="33" t="s">
        <v>20</v>
      </c>
      <c r="C27" s="36">
        <v>0.37083333333333335</v>
      </c>
      <c r="D27" s="5"/>
      <c r="E27" s="36">
        <v>0.5006944444444444</v>
      </c>
      <c r="F27" s="5"/>
      <c r="G27" s="36">
        <v>0.5465277777777777</v>
      </c>
      <c r="H27" s="5"/>
      <c r="I27" s="36">
        <v>0.7451388888888889</v>
      </c>
      <c r="J27" s="5"/>
      <c r="K27" s="6"/>
      <c r="L27" s="90">
        <f t="shared" si="1"/>
        <v>0.3284722222</v>
      </c>
      <c r="M27" s="91">
        <f t="shared" si="6"/>
        <v>0</v>
      </c>
      <c r="N27" s="91">
        <f t="shared" si="7"/>
        <v>0</v>
      </c>
      <c r="S27" s="13"/>
      <c r="T27" s="29"/>
      <c r="U27" s="29"/>
      <c r="V27" s="13"/>
      <c r="W27" s="13"/>
      <c r="X27" s="13"/>
      <c r="Y27" s="13"/>
      <c r="Z27" s="13"/>
      <c r="AA27" s="13"/>
    </row>
    <row r="28">
      <c r="A28" s="30">
        <v>21.0</v>
      </c>
      <c r="B28" s="33" t="s">
        <v>21</v>
      </c>
      <c r="C28" s="28">
        <v>0.3993055555555556</v>
      </c>
      <c r="D28" s="5"/>
      <c r="E28" s="28"/>
      <c r="F28" s="5"/>
      <c r="G28" s="28"/>
      <c r="H28" s="5"/>
      <c r="I28" s="28">
        <v>0.4951388888888889</v>
      </c>
      <c r="J28" s="5"/>
      <c r="K28" s="6"/>
      <c r="L28" s="90">
        <f t="shared" si="1"/>
        <v>0.09583333333</v>
      </c>
      <c r="M28" s="91">
        <f t="shared" si="6"/>
        <v>0</v>
      </c>
      <c r="N28" s="90">
        <v>0.004861111111111111</v>
      </c>
      <c r="O28" s="98" t="s">
        <v>63</v>
      </c>
      <c r="P28" s="98"/>
      <c r="S28" s="13"/>
      <c r="T28" s="29"/>
      <c r="U28" s="39"/>
      <c r="V28" s="29"/>
      <c r="W28" s="35"/>
      <c r="X28" s="29"/>
      <c r="Y28" s="13"/>
      <c r="Z28" s="13"/>
      <c r="AA28" s="29"/>
    </row>
    <row r="29">
      <c r="A29" s="30">
        <v>22.0</v>
      </c>
      <c r="B29" s="33" t="s">
        <v>23</v>
      </c>
      <c r="C29" s="28"/>
      <c r="D29" s="5"/>
      <c r="E29" s="28"/>
      <c r="F29" s="5"/>
      <c r="G29" s="28"/>
      <c r="H29" s="5"/>
      <c r="I29" s="28"/>
      <c r="J29" s="5"/>
      <c r="K29" s="6"/>
      <c r="L29" s="90">
        <f t="shared" si="1"/>
        <v>0</v>
      </c>
      <c r="M29" s="91">
        <f t="shared" si="6"/>
        <v>0</v>
      </c>
      <c r="N29" s="89">
        <v>0.0</v>
      </c>
      <c r="O29" s="13"/>
      <c r="P29" s="13"/>
      <c r="Q29" s="13"/>
      <c r="R29" s="13"/>
      <c r="S29" s="13"/>
      <c r="T29" s="29"/>
      <c r="U29" s="39"/>
      <c r="V29" s="13"/>
      <c r="W29" s="13"/>
      <c r="X29" s="13"/>
      <c r="Y29" s="13"/>
      <c r="Z29" s="13"/>
      <c r="AA29" s="13"/>
    </row>
    <row r="30">
      <c r="A30" s="30">
        <v>23.0</v>
      </c>
      <c r="B30" s="32" t="s">
        <v>24</v>
      </c>
      <c r="C30" s="36">
        <v>0.3597222222222222</v>
      </c>
      <c r="D30" s="5"/>
      <c r="E30" s="36">
        <v>0.5020833333333333</v>
      </c>
      <c r="F30" s="5"/>
      <c r="G30" s="102">
        <v>0.54375</v>
      </c>
      <c r="H30" s="5"/>
      <c r="I30" s="36">
        <v>0.7465277777777778</v>
      </c>
      <c r="J30" s="5"/>
      <c r="K30" s="6"/>
      <c r="L30" s="90">
        <f t="shared" si="1"/>
        <v>0.3451388889</v>
      </c>
      <c r="M30" s="92">
        <f t="shared" si="6"/>
        <v>0.01180555556</v>
      </c>
      <c r="N30" s="91">
        <f t="shared" ref="N30:N34" si="8">+IF(($M$3-L30)&gt;$M$4,$M$3-L30,0)</f>
        <v>0</v>
      </c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30">
        <v>24.0</v>
      </c>
      <c r="B31" s="33" t="s">
        <v>58</v>
      </c>
      <c r="C31" s="36">
        <v>0.3611111111111111</v>
      </c>
      <c r="D31" s="5"/>
      <c r="E31" s="36">
        <v>0.5</v>
      </c>
      <c r="F31" s="5"/>
      <c r="G31" s="36">
        <v>0.5458333333333333</v>
      </c>
      <c r="H31" s="5"/>
      <c r="I31" s="36">
        <v>0.7479166666666667</v>
      </c>
      <c r="J31" s="5"/>
      <c r="K31" s="6"/>
      <c r="L31" s="90">
        <f t="shared" si="1"/>
        <v>0.3409722222</v>
      </c>
      <c r="M31" s="92">
        <f t="shared" si="6"/>
        <v>0.007638888889</v>
      </c>
      <c r="N31" s="91">
        <f t="shared" si="8"/>
        <v>0</v>
      </c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30">
        <v>25.0</v>
      </c>
      <c r="B32" s="33" t="s">
        <v>18</v>
      </c>
      <c r="C32" s="36">
        <v>0.3611111111111111</v>
      </c>
      <c r="D32" s="5"/>
      <c r="E32" s="36">
        <v>0.5118055555555555</v>
      </c>
      <c r="F32" s="5"/>
      <c r="G32" s="36">
        <v>0.5576388888888889</v>
      </c>
      <c r="H32" s="5"/>
      <c r="I32" s="36">
        <v>0.7472222222222222</v>
      </c>
      <c r="J32" s="5"/>
      <c r="K32" s="6"/>
      <c r="L32" s="90">
        <f t="shared" si="1"/>
        <v>0.3402777778</v>
      </c>
      <c r="M32" s="91">
        <f t="shared" si="6"/>
        <v>0</v>
      </c>
      <c r="N32" s="91">
        <f t="shared" si="8"/>
        <v>0</v>
      </c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30">
        <v>26.0</v>
      </c>
      <c r="B33" s="33" t="s">
        <v>19</v>
      </c>
      <c r="C33" s="36">
        <v>0.35625</v>
      </c>
      <c r="D33" s="5"/>
      <c r="E33" s="36">
        <v>0.5027777777777778</v>
      </c>
      <c r="F33" s="5"/>
      <c r="G33" s="36">
        <v>0.5479166666666667</v>
      </c>
      <c r="H33" s="5"/>
      <c r="I33" s="36">
        <v>0.7486111111111111</v>
      </c>
      <c r="J33" s="5"/>
      <c r="K33" s="6"/>
      <c r="L33" s="90">
        <f t="shared" si="1"/>
        <v>0.3472222222</v>
      </c>
      <c r="M33" s="92">
        <f t="shared" si="6"/>
        <v>0.01388888889</v>
      </c>
      <c r="N33" s="91">
        <f t="shared" si="8"/>
        <v>0</v>
      </c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30">
        <v>27.0</v>
      </c>
      <c r="B34" s="33" t="s">
        <v>20</v>
      </c>
      <c r="C34" s="36">
        <v>0.3645833333333333</v>
      </c>
      <c r="D34" s="5"/>
      <c r="E34" s="36">
        <v>0.5076388888888889</v>
      </c>
      <c r="F34" s="5"/>
      <c r="G34" s="36">
        <v>0.5548611111111111</v>
      </c>
      <c r="H34" s="5"/>
      <c r="I34" s="36">
        <v>0.74375</v>
      </c>
      <c r="J34" s="5"/>
      <c r="K34" s="6"/>
      <c r="L34" s="90">
        <f t="shared" si="1"/>
        <v>0.3319444444</v>
      </c>
      <c r="M34" s="91">
        <f t="shared" si="6"/>
        <v>0</v>
      </c>
      <c r="N34" s="91">
        <f t="shared" si="8"/>
        <v>0</v>
      </c>
      <c r="O34" s="29"/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30">
        <v>28.0</v>
      </c>
      <c r="B35" s="33" t="s">
        <v>21</v>
      </c>
      <c r="C35" s="36">
        <v>0.33958333333333335</v>
      </c>
      <c r="D35" s="5"/>
      <c r="E35" s="28"/>
      <c r="F35" s="5"/>
      <c r="G35" s="28"/>
      <c r="H35" s="5"/>
      <c r="I35" s="28">
        <v>0.5090277777777777</v>
      </c>
      <c r="J35" s="5"/>
      <c r="L35" s="90">
        <f t="shared" si="1"/>
        <v>0.1694444444</v>
      </c>
      <c r="M35" s="91">
        <f t="shared" si="6"/>
        <v>0</v>
      </c>
      <c r="N35" s="89">
        <v>0.0</v>
      </c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30">
        <v>29.0</v>
      </c>
      <c r="B36" s="33" t="s">
        <v>30</v>
      </c>
      <c r="C36" s="36"/>
      <c r="D36" s="5"/>
      <c r="E36" s="36"/>
      <c r="F36" s="5"/>
      <c r="G36" s="36"/>
      <c r="H36" s="5"/>
      <c r="I36" s="36"/>
      <c r="J36" s="5"/>
      <c r="K36" s="6"/>
      <c r="L36" s="130">
        <v>0.0</v>
      </c>
      <c r="M36" s="130">
        <v>0.0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30">
        <v>30.0</v>
      </c>
      <c r="B37" s="33" t="s">
        <v>24</v>
      </c>
      <c r="C37" s="36">
        <v>0.35347222222222224</v>
      </c>
      <c r="D37" s="5"/>
      <c r="E37" s="36">
        <v>0.5006944444444444</v>
      </c>
      <c r="F37" s="5"/>
      <c r="G37" s="36">
        <v>0.5465277777777777</v>
      </c>
      <c r="H37" s="5"/>
      <c r="I37" s="36">
        <v>0.7451388888888889</v>
      </c>
      <c r="J37" s="5"/>
      <c r="K37" s="6"/>
      <c r="L37" s="90">
        <f t="shared" ref="L37:L38" si="9">(E37-C37)+(I37-G37)</f>
        <v>0.3458333333</v>
      </c>
      <c r="M37" s="92">
        <f t="shared" ref="M37:M38" si="10">IF((L37-$M$3)&gt;$M$4,L37-$M$3,0)</f>
        <v>0.0125</v>
      </c>
      <c r="N37" s="91">
        <f t="shared" ref="N37:N38" si="11">+IF(($M$3-L37)&gt;$M$4,$M$3-L37,0)</f>
        <v>0</v>
      </c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A38" s="30">
        <v>31.0</v>
      </c>
      <c r="B38" s="33" t="s">
        <v>25</v>
      </c>
      <c r="C38" s="36">
        <v>0.3548611111111111</v>
      </c>
      <c r="D38" s="5"/>
      <c r="E38" s="28">
        <v>0.5055555555555555</v>
      </c>
      <c r="F38" s="5"/>
      <c r="G38" s="28">
        <v>0.5472222222222223</v>
      </c>
      <c r="H38" s="5"/>
      <c r="I38" s="28">
        <v>0.7451388888888889</v>
      </c>
      <c r="J38" s="5"/>
      <c r="K38" s="6"/>
      <c r="L38" s="90">
        <f t="shared" si="9"/>
        <v>0.3486111111</v>
      </c>
      <c r="M38" s="92">
        <f t="shared" si="10"/>
        <v>0.01527777778</v>
      </c>
      <c r="N38" s="91">
        <f t="shared" si="11"/>
        <v>0</v>
      </c>
      <c r="O38" s="29"/>
      <c r="P38" s="13"/>
      <c r="Q38" s="13"/>
      <c r="R38" s="13"/>
    </row>
    <row r="39">
      <c r="A39" s="107" t="s">
        <v>53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6">
        <f t="shared" ref="M39:N39" si="12">SUM(M8:M38)</f>
        <v>0.1076388889</v>
      </c>
      <c r="N39" s="106">
        <f t="shared" si="12"/>
        <v>0.07222222222</v>
      </c>
      <c r="P39" s="13"/>
      <c r="Q39" s="13"/>
      <c r="R39" s="13"/>
    </row>
    <row r="40">
      <c r="A40" s="107" t="s">
        <v>54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M40" s="29"/>
    </row>
    <row r="41">
      <c r="A41" s="132" t="s">
        <v>55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L42" s="31" t="s">
        <v>56</v>
      </c>
    </row>
    <row r="43">
      <c r="A43" s="136"/>
      <c r="B43" s="137"/>
      <c r="C43" s="137"/>
      <c r="D43" s="137"/>
      <c r="F43" s="137"/>
      <c r="H43" s="137"/>
      <c r="I43" s="137"/>
      <c r="J43" s="138"/>
      <c r="L43" s="98" t="s">
        <v>57</v>
      </c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  <row r="48">
      <c r="C48" s="41"/>
      <c r="E48" s="41"/>
    </row>
    <row r="50">
      <c r="L50" s="141"/>
    </row>
  </sheetData>
  <mergeCells count="148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4:E44"/>
    <mergeCell ref="D45:E45"/>
    <mergeCell ref="F45:G45"/>
    <mergeCell ref="A39:J39"/>
    <mergeCell ref="A40:J40"/>
    <mergeCell ref="A41:J41"/>
    <mergeCell ref="F42:G42"/>
    <mergeCell ref="D43:E43"/>
    <mergeCell ref="F43:G43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  <c r="L5" s="13"/>
      <c r="M5" s="13"/>
      <c r="N5" s="13"/>
    </row>
    <row r="6">
      <c r="A6" s="66" t="s">
        <v>10</v>
      </c>
      <c r="B6" s="19" t="s">
        <v>11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/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</row>
    <row r="8">
      <c r="A8" s="25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6"/>
      <c r="L8" s="90">
        <f t="shared" ref="L8:L16" si="1">(E8-C8)+(I8-G8)</f>
        <v>0</v>
      </c>
      <c r="M8" s="90">
        <v>0.0</v>
      </c>
      <c r="N8" s="90">
        <v>0.0</v>
      </c>
      <c r="S8" s="13"/>
      <c r="T8" s="29"/>
      <c r="U8" s="29"/>
      <c r="V8" s="13"/>
      <c r="W8" s="13"/>
      <c r="X8" s="13"/>
      <c r="Y8" s="13"/>
      <c r="Z8" s="13"/>
    </row>
    <row r="9">
      <c r="A9" s="30">
        <v>2.0</v>
      </c>
      <c r="B9" s="27" t="s">
        <v>24</v>
      </c>
      <c r="C9" s="28">
        <v>0.35</v>
      </c>
      <c r="D9" s="5"/>
      <c r="E9" s="28">
        <v>0.5</v>
      </c>
      <c r="F9" s="5"/>
      <c r="G9" s="28">
        <v>0.5416666666666666</v>
      </c>
      <c r="H9" s="5"/>
      <c r="I9" s="28">
        <v>0.7479166666666667</v>
      </c>
      <c r="J9" s="5"/>
      <c r="K9" s="6"/>
      <c r="L9" s="90">
        <f t="shared" si="1"/>
        <v>0.35625</v>
      </c>
      <c r="M9" s="92">
        <f t="shared" ref="M9:M16" si="2">IF((L9-$M$3)&gt;$M$4,L9-$M$3,0)</f>
        <v>0.02291666667</v>
      </c>
      <c r="N9" s="91">
        <f t="shared" ref="N9:N13" si="3">+IF(($M$3-L9)&gt;$M$4,$M$3-L9,0)</f>
        <v>0</v>
      </c>
      <c r="S9" s="13"/>
      <c r="T9" s="29"/>
      <c r="U9" s="29"/>
      <c r="V9" s="13"/>
      <c r="W9" s="13"/>
      <c r="X9" s="13"/>
      <c r="Y9" s="13"/>
      <c r="Z9" s="13"/>
    </row>
    <row r="10">
      <c r="A10" s="30">
        <v>3.0</v>
      </c>
      <c r="B10" s="32" t="s">
        <v>58</v>
      </c>
      <c r="C10" s="28">
        <v>0.35138888888888886</v>
      </c>
      <c r="D10" s="5"/>
      <c r="E10" s="28">
        <v>0.5</v>
      </c>
      <c r="F10" s="5"/>
      <c r="G10" s="28">
        <v>0.5416666666666666</v>
      </c>
      <c r="H10" s="5"/>
      <c r="I10" s="28">
        <v>0.7472222222222222</v>
      </c>
      <c r="J10" s="5"/>
      <c r="K10" s="6"/>
      <c r="L10" s="90">
        <f t="shared" si="1"/>
        <v>0.3541666667</v>
      </c>
      <c r="M10" s="92">
        <f t="shared" si="2"/>
        <v>0.02083333333</v>
      </c>
      <c r="N10" s="91">
        <f t="shared" si="3"/>
        <v>0</v>
      </c>
      <c r="S10" s="13"/>
      <c r="T10" s="29"/>
      <c r="U10" s="29"/>
      <c r="V10" s="13"/>
      <c r="W10" s="13"/>
      <c r="X10" s="13"/>
      <c r="Y10" s="13"/>
      <c r="Z10" s="13"/>
    </row>
    <row r="11">
      <c r="A11" s="30">
        <v>4.0</v>
      </c>
      <c r="B11" s="33" t="s">
        <v>18</v>
      </c>
      <c r="C11" s="28">
        <v>0.35694444444444445</v>
      </c>
      <c r="D11" s="5"/>
      <c r="E11" s="28">
        <v>0.5104166666666666</v>
      </c>
      <c r="F11" s="5"/>
      <c r="G11" s="28">
        <v>0.5520833333333334</v>
      </c>
      <c r="H11" s="5"/>
      <c r="I11" s="28">
        <v>0.7472222222222222</v>
      </c>
      <c r="J11" s="5"/>
      <c r="K11" s="6"/>
      <c r="L11" s="90">
        <f t="shared" si="1"/>
        <v>0.3486111111</v>
      </c>
      <c r="M11" s="92">
        <f t="shared" si="2"/>
        <v>0.01527777778</v>
      </c>
      <c r="N11" s="91">
        <f t="shared" si="3"/>
        <v>0</v>
      </c>
      <c r="S11" s="13"/>
      <c r="T11" s="29"/>
      <c r="U11" s="29"/>
      <c r="V11" s="13"/>
      <c r="W11" s="13"/>
      <c r="X11" s="13"/>
      <c r="Y11" s="13"/>
      <c r="Z11" s="13"/>
    </row>
    <row r="12">
      <c r="A12" s="30">
        <v>5.0</v>
      </c>
      <c r="B12" s="27" t="s">
        <v>19</v>
      </c>
      <c r="C12" s="28">
        <v>0.3736111111111111</v>
      </c>
      <c r="D12" s="5"/>
      <c r="E12" s="28">
        <v>0.5006944444444444</v>
      </c>
      <c r="F12" s="5"/>
      <c r="G12" s="28">
        <v>0.5444444444444444</v>
      </c>
      <c r="H12" s="5"/>
      <c r="I12" s="28">
        <v>0.7479166666666667</v>
      </c>
      <c r="J12" s="5"/>
      <c r="K12" s="6"/>
      <c r="L12" s="83">
        <f t="shared" si="1"/>
        <v>0.3305555556</v>
      </c>
      <c r="M12" s="83">
        <f t="shared" si="2"/>
        <v>0</v>
      </c>
      <c r="N12" s="144">
        <f t="shared" si="3"/>
        <v>0</v>
      </c>
      <c r="S12" s="13"/>
      <c r="T12" s="29"/>
      <c r="U12" s="29"/>
      <c r="V12" s="13"/>
      <c r="W12" s="13"/>
      <c r="X12" s="13"/>
      <c r="Y12" s="13"/>
      <c r="Z12" s="13"/>
    </row>
    <row r="13">
      <c r="A13" s="30">
        <v>6.0</v>
      </c>
      <c r="B13" s="32" t="s">
        <v>20</v>
      </c>
      <c r="C13" s="28">
        <v>0.35</v>
      </c>
      <c r="D13" s="5"/>
      <c r="E13" s="28">
        <v>0.5027777777777778</v>
      </c>
      <c r="F13" s="5"/>
      <c r="G13" s="28">
        <v>0.5416666666666666</v>
      </c>
      <c r="H13" s="5"/>
      <c r="I13" s="28">
        <v>0.75</v>
      </c>
      <c r="J13" s="5"/>
      <c r="K13" s="6"/>
      <c r="L13" s="83">
        <f t="shared" si="1"/>
        <v>0.3611111111</v>
      </c>
      <c r="M13" s="83">
        <f t="shared" si="2"/>
        <v>0.02777777778</v>
      </c>
      <c r="N13" s="83">
        <f t="shared" si="3"/>
        <v>0</v>
      </c>
      <c r="S13" s="29"/>
      <c r="T13" s="29"/>
      <c r="U13" s="29"/>
      <c r="V13" s="29"/>
      <c r="W13" s="37"/>
      <c r="X13" s="35"/>
      <c r="Y13" s="13"/>
      <c r="Z13" s="13"/>
    </row>
    <row r="14">
      <c r="A14" s="30">
        <v>7.0</v>
      </c>
      <c r="B14" s="33" t="s">
        <v>21</v>
      </c>
      <c r="C14" s="36">
        <v>0.3541666666666667</v>
      </c>
      <c r="D14" s="5"/>
      <c r="E14" s="36"/>
      <c r="F14" s="5"/>
      <c r="G14" s="36"/>
      <c r="H14" s="5"/>
      <c r="I14" s="36">
        <v>0.5013888888888889</v>
      </c>
      <c r="J14" s="5"/>
      <c r="K14" s="6"/>
      <c r="L14" s="83">
        <f t="shared" si="1"/>
        <v>0.1472222222</v>
      </c>
      <c r="M14" s="83">
        <f t="shared" si="2"/>
        <v>0</v>
      </c>
      <c r="N14" s="87">
        <v>0.020833333333333332</v>
      </c>
      <c r="S14" s="13"/>
      <c r="T14" s="29"/>
      <c r="U14" s="29"/>
      <c r="V14" s="93" t="s">
        <v>27</v>
      </c>
      <c r="W14" s="94">
        <v>0.11041666666666666</v>
      </c>
      <c r="X14" s="95"/>
      <c r="Y14" s="95"/>
      <c r="Z14" s="13"/>
    </row>
    <row r="15">
      <c r="A15" s="30">
        <v>8.0</v>
      </c>
      <c r="B15" s="33" t="s">
        <v>23</v>
      </c>
      <c r="C15" s="36"/>
      <c r="D15" s="5"/>
      <c r="E15" s="28"/>
      <c r="F15" s="5"/>
      <c r="G15" s="28"/>
      <c r="H15" s="5"/>
      <c r="I15" s="28"/>
      <c r="J15" s="5"/>
      <c r="K15" s="6"/>
      <c r="L15" s="90">
        <f t="shared" si="1"/>
        <v>0</v>
      </c>
      <c r="M15" s="91">
        <f t="shared" si="2"/>
        <v>0</v>
      </c>
      <c r="N15" s="89">
        <v>0.0</v>
      </c>
      <c r="S15" s="29"/>
      <c r="T15" s="29"/>
      <c r="U15" s="29"/>
      <c r="V15" s="29"/>
      <c r="W15" s="37"/>
      <c r="X15" s="35"/>
      <c r="Y15" s="13"/>
      <c r="Z15" s="13"/>
    </row>
    <row r="16">
      <c r="A16" s="30">
        <v>9.0</v>
      </c>
      <c r="B16" s="27" t="s">
        <v>24</v>
      </c>
      <c r="C16" s="28">
        <v>0.34791666666666665</v>
      </c>
      <c r="D16" s="5"/>
      <c r="E16" s="28">
        <v>0.5</v>
      </c>
      <c r="F16" s="5"/>
      <c r="G16" s="28">
        <v>0.5416666666666666</v>
      </c>
      <c r="H16" s="5"/>
      <c r="I16" s="28">
        <v>0.7472222222222222</v>
      </c>
      <c r="J16" s="5"/>
      <c r="K16" s="6"/>
      <c r="L16" s="83">
        <f t="shared" si="1"/>
        <v>0.3576388889</v>
      </c>
      <c r="M16" s="83">
        <f t="shared" si="2"/>
        <v>0.02430555556</v>
      </c>
      <c r="N16" s="144">
        <f>+IF(($M$3-L16)&gt;$M$4,$M$3-L16,0)</f>
        <v>0</v>
      </c>
      <c r="S16" s="13"/>
      <c r="T16" s="29"/>
      <c r="U16" s="29"/>
      <c r="V16" s="13"/>
      <c r="W16" s="13"/>
      <c r="X16" s="13"/>
      <c r="Y16" s="13"/>
      <c r="Z16" s="13"/>
    </row>
    <row r="17">
      <c r="A17" s="30">
        <v>10.0</v>
      </c>
      <c r="B17" s="32" t="s">
        <v>58</v>
      </c>
      <c r="C17" s="34" t="s">
        <v>67</v>
      </c>
      <c r="D17" s="15"/>
      <c r="E17" s="15"/>
      <c r="F17" s="15"/>
      <c r="G17" s="15"/>
      <c r="H17" s="15"/>
      <c r="I17" s="15"/>
      <c r="J17" s="5"/>
      <c r="K17" s="6"/>
      <c r="L17" s="89"/>
      <c r="M17" s="91"/>
      <c r="N17" s="91"/>
      <c r="O17" s="98" t="s">
        <v>62</v>
      </c>
      <c r="S17" s="13"/>
      <c r="T17" s="35"/>
      <c r="U17" s="29"/>
      <c r="V17" s="13"/>
      <c r="W17" s="13"/>
      <c r="X17" s="13"/>
      <c r="Y17" s="13"/>
      <c r="Z17" s="13"/>
    </row>
    <row r="18">
      <c r="A18" s="30">
        <v>11.0</v>
      </c>
      <c r="B18" s="33" t="s">
        <v>18</v>
      </c>
      <c r="C18" s="28">
        <v>0.35</v>
      </c>
      <c r="D18" s="5"/>
      <c r="E18" s="28">
        <v>0.5</v>
      </c>
      <c r="F18" s="5"/>
      <c r="G18" s="28">
        <v>0.5416666666666666</v>
      </c>
      <c r="H18" s="5"/>
      <c r="I18" s="28">
        <v>0.7444444444444445</v>
      </c>
      <c r="J18" s="5"/>
      <c r="K18" s="6"/>
      <c r="L18" s="90">
        <f t="shared" ref="L18:L23" si="4">(E18-C18)+(I18-G18)</f>
        <v>0.3527777778</v>
      </c>
      <c r="M18" s="92">
        <f t="shared" ref="M18:M20" si="5">IF((L18-$M$3)&gt;$M$4,L18-$M$3,0)</f>
        <v>0.01944444444</v>
      </c>
      <c r="N18" s="91">
        <f t="shared" ref="N18:N20" si="6">+IF(($M$3-L18)&gt;$M$4,$M$3-L18,0)</f>
        <v>0</v>
      </c>
      <c r="S18" s="13"/>
      <c r="T18" s="29"/>
      <c r="U18" s="29"/>
      <c r="V18" s="29"/>
      <c r="W18" s="37"/>
      <c r="X18" s="35"/>
      <c r="Y18" s="13"/>
      <c r="Z18" s="13"/>
    </row>
    <row r="19">
      <c r="A19" s="30">
        <v>12.0</v>
      </c>
      <c r="B19" s="27" t="s">
        <v>19</v>
      </c>
      <c r="C19" s="28">
        <v>0.3611111111111111</v>
      </c>
      <c r="D19" s="5"/>
      <c r="E19" s="28">
        <v>0.5</v>
      </c>
      <c r="F19" s="5"/>
      <c r="G19" s="28">
        <v>0.5416666666666666</v>
      </c>
      <c r="H19" s="5"/>
      <c r="I19" s="28">
        <v>0.7472222222222222</v>
      </c>
      <c r="J19" s="5"/>
      <c r="K19" s="6"/>
      <c r="L19" s="90">
        <f t="shared" si="4"/>
        <v>0.3444444444</v>
      </c>
      <c r="M19" s="92">
        <f t="shared" si="5"/>
        <v>0.01111111111</v>
      </c>
      <c r="N19" s="91">
        <f t="shared" si="6"/>
        <v>0</v>
      </c>
      <c r="S19" s="13"/>
      <c r="T19" s="29"/>
      <c r="U19" s="29"/>
      <c r="V19" s="29"/>
      <c r="W19" s="37"/>
      <c r="X19" s="35"/>
      <c r="Y19" s="13"/>
      <c r="Z19" s="13"/>
    </row>
    <row r="20">
      <c r="A20" s="30">
        <v>13.0</v>
      </c>
      <c r="B20" s="32" t="s">
        <v>20</v>
      </c>
      <c r="C20" s="36">
        <v>0.35</v>
      </c>
      <c r="D20" s="5"/>
      <c r="E20" s="36">
        <v>0.5</v>
      </c>
      <c r="F20" s="5"/>
      <c r="G20" s="36">
        <v>0.5416666666666666</v>
      </c>
      <c r="H20" s="5"/>
      <c r="I20" s="36">
        <v>0.7444444444444445</v>
      </c>
      <c r="J20" s="5"/>
      <c r="K20" s="6"/>
      <c r="L20" s="90">
        <f t="shared" si="4"/>
        <v>0.3527777778</v>
      </c>
      <c r="M20" s="92">
        <f t="shared" si="5"/>
        <v>0.01944444444</v>
      </c>
      <c r="N20" s="91">
        <f t="shared" si="6"/>
        <v>0</v>
      </c>
      <c r="S20" s="13"/>
      <c r="T20" s="29"/>
      <c r="U20" s="29"/>
      <c r="V20" s="93" t="s">
        <v>27</v>
      </c>
      <c r="W20" s="94">
        <v>0.2534722222222222</v>
      </c>
      <c r="X20" s="95"/>
      <c r="Y20" s="95"/>
      <c r="Z20" s="13"/>
    </row>
    <row r="21">
      <c r="A21" s="30">
        <v>14.0</v>
      </c>
      <c r="B21" s="33" t="s">
        <v>21</v>
      </c>
      <c r="C21" s="36">
        <v>0.33055555555555555</v>
      </c>
      <c r="D21" s="5"/>
      <c r="E21" s="36"/>
      <c r="F21" s="5"/>
      <c r="G21" s="36"/>
      <c r="H21" s="5"/>
      <c r="I21" s="36">
        <v>0.5013888888888889</v>
      </c>
      <c r="J21" s="5"/>
      <c r="K21" s="6"/>
      <c r="L21" s="90">
        <f t="shared" si="4"/>
        <v>0.1708333333</v>
      </c>
      <c r="M21" s="90">
        <v>0.004166666666666667</v>
      </c>
      <c r="N21" s="89">
        <v>0.0</v>
      </c>
      <c r="S21" s="29"/>
      <c r="T21" s="96"/>
      <c r="U21" s="29"/>
      <c r="V21" s="29"/>
      <c r="W21" s="37"/>
      <c r="X21" s="35"/>
      <c r="Y21" s="13"/>
      <c r="Z21" s="13"/>
    </row>
    <row r="22">
      <c r="A22" s="30">
        <v>15.0</v>
      </c>
      <c r="B22" s="33" t="s">
        <v>23</v>
      </c>
      <c r="C22" s="36"/>
      <c r="D22" s="5"/>
      <c r="E22" s="36"/>
      <c r="F22" s="5"/>
      <c r="G22" s="36"/>
      <c r="H22" s="5"/>
      <c r="I22" s="36"/>
      <c r="J22" s="5"/>
      <c r="K22" s="124"/>
      <c r="L22" s="90">
        <f t="shared" si="4"/>
        <v>0</v>
      </c>
      <c r="M22" s="91">
        <f t="shared" ref="M22:M23" si="7">IF((L22-$M$3)&gt;$M$4,L22-$M$3,0)</f>
        <v>0</v>
      </c>
      <c r="N22" s="89">
        <v>0.0</v>
      </c>
      <c r="S22" s="29"/>
      <c r="T22" s="29"/>
      <c r="U22" s="29"/>
      <c r="V22" s="29"/>
      <c r="W22" s="31"/>
      <c r="X22" s="35"/>
      <c r="Y22" s="13"/>
      <c r="Z22" s="13"/>
    </row>
    <row r="23">
      <c r="A23" s="30">
        <v>16.0</v>
      </c>
      <c r="B23" s="32" t="s">
        <v>24</v>
      </c>
      <c r="C23" s="36">
        <v>0.34930555555555554</v>
      </c>
      <c r="D23" s="5"/>
      <c r="E23" s="28">
        <v>0.5013888888888889</v>
      </c>
      <c r="F23" s="5"/>
      <c r="G23" s="28">
        <v>0.5430555555555555</v>
      </c>
      <c r="H23" s="5"/>
      <c r="I23" s="28">
        <v>0.7534722222222222</v>
      </c>
      <c r="J23" s="5"/>
      <c r="K23" s="6"/>
      <c r="L23" s="83">
        <f t="shared" si="4"/>
        <v>0.3625</v>
      </c>
      <c r="M23" s="83">
        <f t="shared" si="7"/>
        <v>0.02916666667</v>
      </c>
      <c r="N23" s="144">
        <f>+IF(($M$3-L23)&gt;$M$4,$M$3-L23,0)</f>
        <v>0</v>
      </c>
      <c r="S23" s="13"/>
      <c r="T23" s="29"/>
      <c r="U23" s="29"/>
      <c r="V23" s="93" t="s">
        <v>27</v>
      </c>
      <c r="W23" s="94">
        <v>0.2951388888888889</v>
      </c>
      <c r="X23" s="95"/>
      <c r="Y23" s="95"/>
      <c r="Z23" s="13"/>
    </row>
    <row r="24">
      <c r="A24" s="30">
        <v>17.0</v>
      </c>
      <c r="B24" s="33" t="s">
        <v>58</v>
      </c>
      <c r="C24" s="34" t="s">
        <v>68</v>
      </c>
      <c r="D24" s="15"/>
      <c r="E24" s="15"/>
      <c r="F24" s="15"/>
      <c r="G24" s="15"/>
      <c r="H24" s="15"/>
      <c r="I24" s="15"/>
      <c r="J24" s="5"/>
      <c r="K24" s="6"/>
      <c r="L24" s="89">
        <v>0.0</v>
      </c>
      <c r="M24" s="90">
        <v>0.0</v>
      </c>
      <c r="N24" s="90">
        <v>0.3333333333333333</v>
      </c>
      <c r="O24" s="98" t="s">
        <v>69</v>
      </c>
      <c r="S24" s="13"/>
      <c r="T24" s="29"/>
      <c r="U24" s="29"/>
      <c r="V24" s="29"/>
      <c r="W24" s="29"/>
      <c r="X24" s="35"/>
      <c r="Y24" s="13"/>
      <c r="Z24" s="13"/>
    </row>
    <row r="25">
      <c r="A25" s="30">
        <v>18.0</v>
      </c>
      <c r="B25" s="33" t="s">
        <v>18</v>
      </c>
      <c r="C25" s="36">
        <v>0.36180555555555555</v>
      </c>
      <c r="D25" s="5"/>
      <c r="E25" s="28">
        <v>0.5</v>
      </c>
      <c r="F25" s="5"/>
      <c r="G25" s="28">
        <v>0.5416666666666666</v>
      </c>
      <c r="H25" s="5"/>
      <c r="I25" s="28">
        <v>0.7465277777777778</v>
      </c>
      <c r="J25" s="5"/>
      <c r="K25" s="6"/>
      <c r="L25" s="90">
        <f t="shared" ref="L25:L27" si="8">(E25-C25)+(I25-G25)</f>
        <v>0.3430555556</v>
      </c>
      <c r="M25" s="92">
        <f t="shared" ref="M25:M27" si="9">IF((L25-$M$3)&gt;$M$4,L25-$M$3,0)</f>
        <v>0.009722222222</v>
      </c>
      <c r="N25" s="91">
        <f>+IF(($M$3-L25)&gt;$M$4,$M$3-L25,0)</f>
        <v>0</v>
      </c>
      <c r="S25" s="13"/>
      <c r="T25" s="29"/>
      <c r="U25" s="29"/>
      <c r="V25" s="13"/>
      <c r="W25" s="13"/>
      <c r="X25" s="13"/>
      <c r="Y25" s="13"/>
      <c r="Z25" s="13"/>
    </row>
    <row r="26">
      <c r="A26" s="30">
        <v>19.0</v>
      </c>
      <c r="B26" s="32" t="s">
        <v>19</v>
      </c>
      <c r="C26" s="28">
        <v>0.35</v>
      </c>
      <c r="D26" s="5"/>
      <c r="E26" s="28">
        <v>0.5</v>
      </c>
      <c r="F26" s="5"/>
      <c r="G26" s="28">
        <v>0.5416666666666666</v>
      </c>
      <c r="H26" s="5"/>
      <c r="I26" s="28">
        <v>0.7520833333333333</v>
      </c>
      <c r="J26" s="5"/>
      <c r="K26" s="127"/>
      <c r="L26" s="90">
        <f t="shared" si="8"/>
        <v>0.3604166667</v>
      </c>
      <c r="M26" s="92">
        <f t="shared" si="9"/>
        <v>0.02708333333</v>
      </c>
      <c r="N26" s="90">
        <v>0.0</v>
      </c>
      <c r="S26" s="29"/>
      <c r="T26" s="29"/>
      <c r="U26" s="29"/>
      <c r="V26" s="29"/>
      <c r="W26" s="37"/>
      <c r="X26" s="35"/>
      <c r="Y26" s="13"/>
      <c r="Z26" s="13"/>
    </row>
    <row r="27">
      <c r="A27" s="30">
        <v>20.0</v>
      </c>
      <c r="B27" s="33" t="s">
        <v>20</v>
      </c>
      <c r="C27" s="36">
        <v>0.3784722222222222</v>
      </c>
      <c r="D27" s="5"/>
      <c r="E27" s="36">
        <v>0.5</v>
      </c>
      <c r="F27" s="5"/>
      <c r="G27" s="36">
        <v>0.5416666666666666</v>
      </c>
      <c r="H27" s="5"/>
      <c r="I27" s="36">
        <v>0.7451388888888889</v>
      </c>
      <c r="J27" s="5"/>
      <c r="K27" s="6"/>
      <c r="L27" s="90">
        <f t="shared" si="8"/>
        <v>0.325</v>
      </c>
      <c r="M27" s="91">
        <f t="shared" si="9"/>
        <v>0</v>
      </c>
      <c r="N27" s="92">
        <f>+IF(($M$3-L27)&gt;$M$4,$M$3-L27,0)</f>
        <v>0.008333333333</v>
      </c>
      <c r="S27" s="13"/>
      <c r="T27" s="29"/>
      <c r="U27" s="29"/>
      <c r="V27" s="13"/>
      <c r="W27" s="13"/>
      <c r="X27" s="13"/>
      <c r="Y27" s="13"/>
      <c r="Z27" s="13"/>
    </row>
    <row r="28">
      <c r="A28" s="30">
        <v>21.0</v>
      </c>
      <c r="B28" s="33" t="s">
        <v>21</v>
      </c>
      <c r="C28" s="34" t="s">
        <v>68</v>
      </c>
      <c r="D28" s="15"/>
      <c r="E28" s="15"/>
      <c r="F28" s="15"/>
      <c r="G28" s="15"/>
      <c r="H28" s="15"/>
      <c r="I28" s="15"/>
      <c r="J28" s="5"/>
      <c r="K28" s="6"/>
      <c r="L28" s="89">
        <v>0.0</v>
      </c>
      <c r="M28" s="89">
        <v>0.0</v>
      </c>
      <c r="N28" s="90">
        <v>0.0</v>
      </c>
      <c r="S28" s="13"/>
      <c r="T28" s="29"/>
      <c r="U28" s="39"/>
      <c r="V28" s="93" t="s">
        <v>27</v>
      </c>
      <c r="W28" s="94">
        <v>0.38055555555555554</v>
      </c>
      <c r="X28" s="93" t="s">
        <v>70</v>
      </c>
      <c r="Y28" s="95"/>
      <c r="Z28" s="13"/>
    </row>
    <row r="29">
      <c r="A29" s="30">
        <v>22.0</v>
      </c>
      <c r="B29" s="33" t="s">
        <v>23</v>
      </c>
      <c r="C29" s="28"/>
      <c r="D29" s="5"/>
      <c r="E29" s="28"/>
      <c r="F29" s="5"/>
      <c r="G29" s="28"/>
      <c r="H29" s="5"/>
      <c r="I29" s="28"/>
      <c r="J29" s="5"/>
      <c r="K29" s="145"/>
      <c r="L29" s="90">
        <f t="shared" ref="L29:L35" si="10">(E29-C29)+(I29-G29)</f>
        <v>0</v>
      </c>
      <c r="M29" s="91">
        <f t="shared" ref="M29:M35" si="11">IF((L29-$M$3)&gt;$M$4,L29-$M$3,0)</f>
        <v>0</v>
      </c>
      <c r="N29" s="90">
        <v>0.0</v>
      </c>
      <c r="O29" s="13"/>
      <c r="P29" s="13"/>
      <c r="Q29" s="13"/>
      <c r="R29" s="13"/>
      <c r="S29" s="13"/>
    </row>
    <row r="30">
      <c r="A30" s="30">
        <v>23.0</v>
      </c>
      <c r="B30" s="32" t="s">
        <v>24</v>
      </c>
      <c r="C30" s="36"/>
      <c r="D30" s="5"/>
      <c r="E30" s="36"/>
      <c r="F30" s="5"/>
      <c r="G30" s="36"/>
      <c r="H30" s="5"/>
      <c r="I30" s="36"/>
      <c r="J30" s="5"/>
      <c r="K30" s="6"/>
      <c r="L30" s="90">
        <f t="shared" si="10"/>
        <v>0</v>
      </c>
      <c r="M30" s="91">
        <f t="shared" si="11"/>
        <v>0</v>
      </c>
      <c r="N30" s="92">
        <f t="shared" ref="N30:N34" si="12">+IF(($M$3-L30)&gt;$M$4,$M$3-L30,0)</f>
        <v>0.3333333333</v>
      </c>
      <c r="Q30" s="13"/>
      <c r="R30" s="13"/>
      <c r="S30" s="29"/>
    </row>
    <row r="31">
      <c r="A31" s="30">
        <v>24.0</v>
      </c>
      <c r="B31" s="33" t="s">
        <v>58</v>
      </c>
      <c r="C31" s="36"/>
      <c r="D31" s="5"/>
      <c r="E31" s="36"/>
      <c r="F31" s="5"/>
      <c r="G31" s="102"/>
      <c r="H31" s="5"/>
      <c r="I31" s="36"/>
      <c r="J31" s="5"/>
      <c r="K31" s="6"/>
      <c r="L31" s="90">
        <f t="shared" si="10"/>
        <v>0</v>
      </c>
      <c r="M31" s="91">
        <f t="shared" si="11"/>
        <v>0</v>
      </c>
      <c r="N31" s="92">
        <f t="shared" si="12"/>
        <v>0.3333333333</v>
      </c>
      <c r="O31" s="29"/>
      <c r="P31" s="13"/>
      <c r="Q31" s="13"/>
      <c r="R31" s="13"/>
      <c r="S31" s="13"/>
    </row>
    <row r="32">
      <c r="A32" s="30">
        <v>25.0</v>
      </c>
      <c r="B32" s="33" t="s">
        <v>18</v>
      </c>
      <c r="C32" s="36"/>
      <c r="D32" s="5"/>
      <c r="E32" s="36"/>
      <c r="F32" s="5"/>
      <c r="G32" s="36"/>
      <c r="H32" s="5"/>
      <c r="I32" s="36"/>
      <c r="J32" s="5"/>
      <c r="K32" s="6"/>
      <c r="L32" s="90">
        <f t="shared" si="10"/>
        <v>0</v>
      </c>
      <c r="M32" s="91">
        <f t="shared" si="11"/>
        <v>0</v>
      </c>
      <c r="N32" s="92">
        <f t="shared" si="12"/>
        <v>0.3333333333</v>
      </c>
      <c r="O32" s="31"/>
      <c r="P32" s="35"/>
      <c r="Q32" s="13"/>
      <c r="R32" s="13"/>
      <c r="S32" s="29"/>
    </row>
    <row r="33">
      <c r="A33" s="30">
        <v>26.0</v>
      </c>
      <c r="B33" s="33" t="s">
        <v>19</v>
      </c>
      <c r="C33" s="36"/>
      <c r="D33" s="5"/>
      <c r="E33" s="36"/>
      <c r="F33" s="5"/>
      <c r="G33" s="36"/>
      <c r="H33" s="5"/>
      <c r="I33" s="36"/>
      <c r="J33" s="5"/>
      <c r="K33" s="6"/>
      <c r="L33" s="90">
        <f t="shared" si="10"/>
        <v>0</v>
      </c>
      <c r="M33" s="91">
        <f t="shared" si="11"/>
        <v>0</v>
      </c>
      <c r="N33" s="92">
        <f t="shared" si="12"/>
        <v>0.3333333333</v>
      </c>
      <c r="O33" s="31"/>
      <c r="P33" s="35"/>
      <c r="Q33" s="13"/>
      <c r="R33" s="13"/>
      <c r="S33" s="13"/>
    </row>
    <row r="34">
      <c r="A34" s="30">
        <v>27.0</v>
      </c>
      <c r="B34" s="33" t="s">
        <v>20</v>
      </c>
      <c r="C34" s="36"/>
      <c r="D34" s="5"/>
      <c r="E34" s="36"/>
      <c r="F34" s="5"/>
      <c r="G34" s="36"/>
      <c r="H34" s="5"/>
      <c r="I34" s="36"/>
      <c r="J34" s="5"/>
      <c r="K34" s="6"/>
      <c r="L34" s="90">
        <f t="shared" si="10"/>
        <v>0</v>
      </c>
      <c r="M34" s="91">
        <f t="shared" si="11"/>
        <v>0</v>
      </c>
      <c r="N34" s="92">
        <f t="shared" si="12"/>
        <v>0.3333333333</v>
      </c>
      <c r="O34" s="29"/>
      <c r="P34" s="35"/>
      <c r="Q34" s="44"/>
      <c r="R34" s="44"/>
      <c r="S34" s="45"/>
      <c r="T34" s="45"/>
      <c r="U34" s="44"/>
      <c r="V34" s="13"/>
    </row>
    <row r="35">
      <c r="A35" s="30">
        <v>28.0</v>
      </c>
      <c r="B35" s="33" t="s">
        <v>21</v>
      </c>
      <c r="C35" s="36"/>
      <c r="D35" s="5"/>
      <c r="E35" s="28"/>
      <c r="F35" s="5"/>
      <c r="G35" s="28"/>
      <c r="H35" s="5"/>
      <c r="I35" s="28"/>
      <c r="J35" s="5"/>
      <c r="L35" s="90">
        <f t="shared" si="10"/>
        <v>0</v>
      </c>
      <c r="M35" s="91">
        <f t="shared" si="11"/>
        <v>0</v>
      </c>
      <c r="N35" s="90">
        <v>0.0</v>
      </c>
      <c r="O35" s="37"/>
      <c r="P35" s="35"/>
      <c r="Q35" s="13"/>
      <c r="R35" s="13"/>
      <c r="S35" s="29"/>
      <c r="T35" s="13"/>
      <c r="U35" s="13"/>
      <c r="V35" s="13"/>
    </row>
    <row r="36">
      <c r="A36" s="30">
        <v>29.0</v>
      </c>
      <c r="B36" s="33" t="s">
        <v>30</v>
      </c>
      <c r="C36" s="36"/>
      <c r="D36" s="5"/>
      <c r="E36" s="36"/>
      <c r="F36" s="5"/>
      <c r="G36" s="36"/>
      <c r="H36" s="5"/>
      <c r="I36" s="36"/>
      <c r="J36" s="5"/>
      <c r="K36" s="6"/>
      <c r="L36" s="89" t="str">
        <f t="shared" ref="L36:L38" si="13">(#REF!-#REF!)+(#REF!-#REF!)</f>
        <v>#REF!</v>
      </c>
      <c r="M36" s="89">
        <v>0.0</v>
      </c>
      <c r="N36" s="90">
        <v>0.0</v>
      </c>
      <c r="O36" s="29"/>
      <c r="P36" s="13"/>
      <c r="Q36" s="13"/>
      <c r="R36" s="13"/>
      <c r="S36" s="13"/>
    </row>
    <row r="37">
      <c r="A37" s="30">
        <v>30.0</v>
      </c>
      <c r="B37" s="33" t="s">
        <v>24</v>
      </c>
      <c r="C37" s="36"/>
      <c r="D37" s="5"/>
      <c r="E37" s="36"/>
      <c r="F37" s="5"/>
      <c r="G37" s="36"/>
      <c r="H37" s="5"/>
      <c r="I37" s="36"/>
      <c r="J37" s="5"/>
      <c r="K37" s="6"/>
      <c r="L37" s="89" t="str">
        <f t="shared" si="13"/>
        <v>#REF!</v>
      </c>
      <c r="M37" s="89">
        <v>0.0</v>
      </c>
      <c r="N37" s="89">
        <v>0.0</v>
      </c>
      <c r="O37" s="97"/>
      <c r="P37" s="35"/>
      <c r="Q37" s="13"/>
      <c r="R37" s="13"/>
      <c r="S37" s="29"/>
    </row>
    <row r="38">
      <c r="A38" s="30">
        <v>31.0</v>
      </c>
      <c r="B38" s="33" t="s">
        <v>25</v>
      </c>
      <c r="C38" s="36"/>
      <c r="D38" s="5"/>
      <c r="E38" s="28"/>
      <c r="F38" s="5"/>
      <c r="G38" s="28"/>
      <c r="H38" s="5"/>
      <c r="I38" s="28"/>
      <c r="J38" s="5"/>
      <c r="K38" s="6"/>
      <c r="L38" s="89" t="str">
        <f t="shared" si="13"/>
        <v>#REF!</v>
      </c>
      <c r="M38" s="90">
        <v>0.0</v>
      </c>
      <c r="N38" s="89">
        <v>0.0</v>
      </c>
      <c r="O38" s="97"/>
      <c r="P38" s="93" t="s">
        <v>71</v>
      </c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5">
        <f>SUM(M8:M38)</f>
        <v>0.23125</v>
      </c>
      <c r="N39" s="82"/>
      <c r="O39" s="29"/>
      <c r="P39" s="13"/>
      <c r="Q39" s="13"/>
      <c r="R39" s="13"/>
      <c r="S39" s="13"/>
    </row>
    <row r="40">
      <c r="A40" s="146" t="s">
        <v>72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07" t="s">
        <v>73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35"/>
      <c r="N41" s="13"/>
      <c r="O41" s="35"/>
      <c r="P41" s="29"/>
      <c r="Q41" s="13"/>
      <c r="R41" s="13"/>
      <c r="S41" s="13"/>
    </row>
    <row r="42">
      <c r="A42" s="132" t="s">
        <v>74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L43" s="13"/>
      <c r="M43" s="29"/>
      <c r="N43" s="13"/>
      <c r="O43" s="13"/>
      <c r="P43" s="13"/>
      <c r="Q43" s="13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</sheetData>
  <mergeCells count="140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G18:H18"/>
    <mergeCell ref="I18:J18"/>
    <mergeCell ref="C16:D16"/>
    <mergeCell ref="E16:F16"/>
    <mergeCell ref="G16:H16"/>
    <mergeCell ref="I16:J16"/>
    <mergeCell ref="C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22:H22"/>
    <mergeCell ref="I22:J22"/>
    <mergeCell ref="I27:J27"/>
    <mergeCell ref="C28:J28"/>
    <mergeCell ref="C29:D29"/>
    <mergeCell ref="E29:F29"/>
    <mergeCell ref="G29:H29"/>
    <mergeCell ref="I29:J29"/>
    <mergeCell ref="I30:J30"/>
    <mergeCell ref="C30:D30"/>
    <mergeCell ref="C31:D31"/>
    <mergeCell ref="E31:F31"/>
    <mergeCell ref="G31:H31"/>
    <mergeCell ref="I31:J31"/>
    <mergeCell ref="C32:D32"/>
    <mergeCell ref="E32:F32"/>
    <mergeCell ref="E34:F34"/>
    <mergeCell ref="G34:H34"/>
    <mergeCell ref="G32:H32"/>
    <mergeCell ref="I32:J32"/>
    <mergeCell ref="C33:D33"/>
    <mergeCell ref="E33:F33"/>
    <mergeCell ref="G33:H33"/>
    <mergeCell ref="I33:J33"/>
    <mergeCell ref="I34:J34"/>
    <mergeCell ref="G36:H36"/>
    <mergeCell ref="I36:J36"/>
    <mergeCell ref="C34:D34"/>
    <mergeCell ref="C35:D35"/>
    <mergeCell ref="E35:F35"/>
    <mergeCell ref="G35:H35"/>
    <mergeCell ref="I35:J35"/>
    <mergeCell ref="C36:D36"/>
    <mergeCell ref="E36:F36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G25:H25"/>
    <mergeCell ref="I25:J25"/>
    <mergeCell ref="C23:D23"/>
    <mergeCell ref="E23:F23"/>
    <mergeCell ref="G23:H23"/>
    <mergeCell ref="I23:J23"/>
    <mergeCell ref="C24:J24"/>
    <mergeCell ref="C25:D25"/>
    <mergeCell ref="E25:F25"/>
    <mergeCell ref="C26:D26"/>
    <mergeCell ref="E26:F26"/>
    <mergeCell ref="G26:H26"/>
    <mergeCell ref="I26:J26"/>
    <mergeCell ref="C27:D27"/>
    <mergeCell ref="E27:F27"/>
    <mergeCell ref="G27:H27"/>
    <mergeCell ref="E30:F30"/>
    <mergeCell ref="G30:H30"/>
    <mergeCell ref="C37:D37"/>
    <mergeCell ref="E37:F37"/>
    <mergeCell ref="G37:H37"/>
    <mergeCell ref="I37:J37"/>
    <mergeCell ref="C38:D38"/>
    <mergeCell ref="E38:F38"/>
    <mergeCell ref="G38:H38"/>
    <mergeCell ref="I38:J38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" t="s">
        <v>0</v>
      </c>
      <c r="B1" s="2"/>
      <c r="C1" s="1" t="s">
        <v>1</v>
      </c>
      <c r="D1" s="3"/>
      <c r="E1" s="3"/>
      <c r="F1" s="3"/>
      <c r="G1" s="3"/>
      <c r="H1" s="2"/>
      <c r="I1" s="4" t="s">
        <v>2</v>
      </c>
      <c r="J1" s="5"/>
      <c r="K1" s="6"/>
    </row>
    <row r="2">
      <c r="A2" s="7"/>
      <c r="B2" s="8"/>
      <c r="C2" s="7"/>
      <c r="H2" s="8"/>
      <c r="I2" s="4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4" t="s">
        <v>4</v>
      </c>
      <c r="J3" s="5"/>
      <c r="K3" s="12"/>
      <c r="L3" s="13"/>
      <c r="M3" s="13"/>
      <c r="N3" s="13"/>
      <c r="O3" s="13"/>
      <c r="P3" s="13"/>
    </row>
    <row r="4">
      <c r="A4" s="14" t="s">
        <v>5</v>
      </c>
      <c r="B4" s="4" t="s">
        <v>6</v>
      </c>
      <c r="C4" s="15"/>
      <c r="D4" s="15"/>
      <c r="E4" s="15"/>
      <c r="F4" s="5"/>
      <c r="G4" s="16"/>
      <c r="H4" s="5"/>
      <c r="I4" s="17"/>
      <c r="J4" s="17"/>
      <c r="K4" s="12"/>
      <c r="L4" s="13"/>
      <c r="M4" s="13"/>
      <c r="N4" s="13"/>
      <c r="O4" s="13"/>
      <c r="P4" s="13"/>
    </row>
    <row r="5">
      <c r="A5" s="18" t="s">
        <v>7</v>
      </c>
      <c r="B5" s="19" t="s">
        <v>8</v>
      </c>
      <c r="C5" s="15"/>
      <c r="D5" s="15"/>
      <c r="E5" s="5"/>
      <c r="F5" s="20" t="s">
        <v>9</v>
      </c>
      <c r="G5" s="21"/>
      <c r="H5" s="22"/>
      <c r="I5" s="22"/>
      <c r="J5" s="22"/>
      <c r="K5" s="12"/>
      <c r="L5" s="13"/>
      <c r="M5" s="13"/>
      <c r="N5" s="13"/>
      <c r="O5" s="13"/>
      <c r="P5" s="13"/>
    </row>
    <row r="6">
      <c r="A6" s="14" t="s">
        <v>10</v>
      </c>
      <c r="B6" s="19" t="s">
        <v>75</v>
      </c>
      <c r="C6" s="15"/>
      <c r="D6" s="15"/>
      <c r="E6" s="5"/>
      <c r="F6" s="23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24" t="s">
        <v>13</v>
      </c>
      <c r="B7" s="5"/>
      <c r="C7" s="24" t="s">
        <v>14</v>
      </c>
      <c r="D7" s="5"/>
      <c r="E7" s="25" t="s">
        <v>15</v>
      </c>
      <c r="F7" s="24" t="s">
        <v>16</v>
      </c>
      <c r="G7" s="5"/>
      <c r="H7" s="26" t="s">
        <v>17</v>
      </c>
      <c r="I7" s="24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25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12"/>
      <c r="L8" s="29"/>
      <c r="M8" s="13"/>
      <c r="N8" s="13"/>
      <c r="O8" s="13"/>
      <c r="P8" s="13"/>
      <c r="Q8" s="13"/>
      <c r="R8" s="13"/>
      <c r="S8" s="13"/>
    </row>
    <row r="9">
      <c r="A9" s="30">
        <v>2.0</v>
      </c>
      <c r="B9" s="27" t="s">
        <v>24</v>
      </c>
      <c r="C9" s="28">
        <v>0.3486111111111111</v>
      </c>
      <c r="D9" s="5"/>
      <c r="E9" s="28">
        <v>0.5645833333333333</v>
      </c>
      <c r="F9" s="5"/>
      <c r="G9" s="28">
        <v>0.6111111111111112</v>
      </c>
      <c r="H9" s="5"/>
      <c r="I9" s="28">
        <v>0.7458333333333333</v>
      </c>
      <c r="J9" s="5"/>
      <c r="K9" s="12"/>
      <c r="L9" s="29">
        <v>0.0</v>
      </c>
      <c r="M9" s="31"/>
      <c r="N9" s="13"/>
      <c r="O9" s="13"/>
      <c r="P9" s="13"/>
      <c r="Q9" s="13"/>
      <c r="R9" s="13"/>
      <c r="S9" s="13"/>
    </row>
    <row r="10">
      <c r="A10" s="30">
        <v>3.0</v>
      </c>
      <c r="B10" s="32" t="s">
        <v>58</v>
      </c>
      <c r="C10" s="28">
        <v>0.35</v>
      </c>
      <c r="D10" s="5"/>
      <c r="E10" s="28">
        <v>0.5472222222222223</v>
      </c>
      <c r="F10" s="5"/>
      <c r="G10" s="28">
        <v>0.5902777777777778</v>
      </c>
      <c r="H10" s="5"/>
      <c r="I10" s="28">
        <v>0.7465277777777778</v>
      </c>
      <c r="J10" s="5"/>
      <c r="K10" s="12"/>
      <c r="L10" s="29">
        <v>0.0</v>
      </c>
      <c r="M10" s="31"/>
      <c r="N10" s="13"/>
      <c r="O10" s="13"/>
      <c r="P10" s="13"/>
      <c r="Q10" s="13"/>
      <c r="R10" s="13"/>
      <c r="S10" s="13"/>
    </row>
    <row r="11">
      <c r="A11" s="30">
        <v>4.0</v>
      </c>
      <c r="B11" s="33" t="s">
        <v>18</v>
      </c>
      <c r="C11" s="28">
        <v>0.35</v>
      </c>
      <c r="D11" s="5"/>
      <c r="E11" s="28">
        <v>0.5020833333333333</v>
      </c>
      <c r="F11" s="5"/>
      <c r="G11" s="28">
        <v>0.5451388888888888</v>
      </c>
      <c r="H11" s="5"/>
      <c r="I11" s="28">
        <v>0.7472222222222222</v>
      </c>
      <c r="J11" s="5"/>
      <c r="K11" s="12"/>
      <c r="L11" s="29">
        <v>0.0</v>
      </c>
      <c r="M11" s="13"/>
      <c r="N11" s="13"/>
      <c r="O11" s="13"/>
      <c r="P11" s="13"/>
      <c r="Q11" s="13"/>
      <c r="R11" s="13"/>
      <c r="S11" s="13"/>
    </row>
    <row r="12">
      <c r="A12" s="30">
        <v>5.0</v>
      </c>
      <c r="B12" s="27" t="s">
        <v>19</v>
      </c>
      <c r="C12" s="28">
        <v>0.34930555555555554</v>
      </c>
      <c r="D12" s="5"/>
      <c r="E12" s="28">
        <v>0.5520833333333334</v>
      </c>
      <c r="F12" s="5"/>
      <c r="G12" s="28">
        <v>0.5972222222222222</v>
      </c>
      <c r="H12" s="5"/>
      <c r="I12" s="28">
        <v>0.7618055555555555</v>
      </c>
      <c r="J12" s="5"/>
      <c r="K12" s="12"/>
      <c r="L12" s="29">
        <v>24.0</v>
      </c>
      <c r="M12" s="13"/>
      <c r="N12" s="29"/>
      <c r="O12" s="35"/>
      <c r="P12" s="29"/>
      <c r="Q12" s="13"/>
      <c r="R12" s="13"/>
      <c r="S12" s="13"/>
    </row>
    <row r="13">
      <c r="A13" s="30">
        <v>6.0</v>
      </c>
      <c r="B13" s="32" t="s">
        <v>20</v>
      </c>
      <c r="C13" s="28">
        <v>0.3597222222222222</v>
      </c>
      <c r="D13" s="5"/>
      <c r="E13" s="28">
        <v>0.5520833333333334</v>
      </c>
      <c r="F13" s="5"/>
      <c r="G13" s="28">
        <v>0.5965277777777778</v>
      </c>
      <c r="H13" s="5"/>
      <c r="I13" s="28">
        <v>0.7444444444444445</v>
      </c>
      <c r="J13" s="5"/>
      <c r="K13" s="12"/>
      <c r="L13" s="29">
        <v>-15.0</v>
      </c>
      <c r="M13" s="29"/>
      <c r="N13" s="29"/>
      <c r="O13" s="29"/>
      <c r="P13" s="13"/>
      <c r="Q13" s="13"/>
      <c r="R13" s="13"/>
      <c r="S13" s="13"/>
    </row>
    <row r="14">
      <c r="A14" s="30">
        <v>7.0</v>
      </c>
      <c r="B14" s="33" t="s">
        <v>21</v>
      </c>
      <c r="C14" s="36">
        <v>0.32916666666666666</v>
      </c>
      <c r="D14" s="5"/>
      <c r="E14" s="36"/>
      <c r="F14" s="5"/>
      <c r="G14" s="36"/>
      <c r="H14" s="5"/>
      <c r="I14" s="36">
        <v>0.5083333333333333</v>
      </c>
      <c r="J14" s="5"/>
      <c r="K14" s="12"/>
      <c r="L14" s="29">
        <v>18.0</v>
      </c>
      <c r="M14" s="13"/>
      <c r="N14" s="31" t="s">
        <v>76</v>
      </c>
      <c r="O14" s="35">
        <v>0.029166666666666667</v>
      </c>
      <c r="P14" s="37">
        <v>-0.010416666666666666</v>
      </c>
      <c r="Q14" s="13"/>
      <c r="R14" s="13"/>
    </row>
    <row r="15">
      <c r="A15" s="30">
        <v>8.0</v>
      </c>
      <c r="B15" s="33" t="s">
        <v>23</v>
      </c>
      <c r="C15" s="36"/>
      <c r="D15" s="5"/>
      <c r="E15" s="28"/>
      <c r="F15" s="5"/>
      <c r="G15" s="28"/>
      <c r="H15" s="5"/>
      <c r="I15" s="28"/>
      <c r="J15" s="5"/>
      <c r="K15" s="38"/>
      <c r="L15" s="29"/>
      <c r="M15" s="13"/>
      <c r="N15" s="29"/>
      <c r="O15" s="35"/>
      <c r="P15" s="29"/>
      <c r="Q15" s="13"/>
      <c r="R15" s="13"/>
      <c r="S15" s="13"/>
    </row>
    <row r="16">
      <c r="A16" s="30">
        <v>9.0</v>
      </c>
      <c r="B16" s="27" t="s">
        <v>24</v>
      </c>
      <c r="C16" s="28">
        <v>0.3486111111111111</v>
      </c>
      <c r="D16" s="5"/>
      <c r="E16" s="28">
        <v>0.5472222222222223</v>
      </c>
      <c r="F16" s="5"/>
      <c r="G16" s="28">
        <v>0.5958333333333333</v>
      </c>
      <c r="H16" s="5"/>
      <c r="I16" s="28">
        <v>0.7444444444444445</v>
      </c>
      <c r="J16" s="5"/>
      <c r="K16" s="12"/>
      <c r="L16" s="29">
        <v>0.0</v>
      </c>
      <c r="M16" s="13"/>
      <c r="N16" s="29"/>
      <c r="O16" s="35"/>
      <c r="P16" s="29"/>
      <c r="Q16" s="13"/>
      <c r="R16" s="13"/>
      <c r="S16" s="13"/>
    </row>
    <row r="17">
      <c r="A17" s="30">
        <v>10.0</v>
      </c>
      <c r="B17" s="32" t="s">
        <v>58</v>
      </c>
      <c r="C17" s="36">
        <v>0.3506944444444444</v>
      </c>
      <c r="D17" s="5"/>
      <c r="E17" s="36">
        <v>0.5527777777777778</v>
      </c>
      <c r="F17" s="5"/>
      <c r="G17" s="36">
        <v>0.6006944444444444</v>
      </c>
      <c r="H17" s="5"/>
      <c r="I17" s="36">
        <v>0.7458333333333333</v>
      </c>
      <c r="J17" s="5"/>
      <c r="K17" s="12"/>
      <c r="L17" s="29">
        <v>0.0</v>
      </c>
      <c r="M17" s="29"/>
      <c r="N17" s="31"/>
      <c r="O17" s="35"/>
      <c r="P17" s="13"/>
      <c r="Q17" s="13"/>
      <c r="R17" s="13"/>
      <c r="S17" s="13"/>
    </row>
    <row r="18">
      <c r="A18" s="30">
        <v>11.0</v>
      </c>
      <c r="B18" s="33" t="s">
        <v>18</v>
      </c>
      <c r="C18" s="28">
        <v>0.34930555555555554</v>
      </c>
      <c r="D18" s="5"/>
      <c r="E18" s="28">
        <v>0.5548611111111111</v>
      </c>
      <c r="F18" s="5"/>
      <c r="G18" s="28">
        <v>0.6055555555555555</v>
      </c>
      <c r="H18" s="5"/>
      <c r="I18" s="28">
        <v>0.74375</v>
      </c>
      <c r="J18" s="5"/>
      <c r="K18" s="12"/>
      <c r="L18" s="142">
        <v>-10.0</v>
      </c>
      <c r="M18" s="29"/>
      <c r="N18" s="31" t="s">
        <v>76</v>
      </c>
      <c r="O18" s="35">
        <v>0.029166666666666667</v>
      </c>
      <c r="P18" s="29" t="s">
        <v>77</v>
      </c>
      <c r="Q18" s="13"/>
      <c r="R18" s="13"/>
    </row>
    <row r="19">
      <c r="A19" s="30">
        <v>12.0</v>
      </c>
      <c r="B19" s="27" t="s">
        <v>19</v>
      </c>
      <c r="C19" s="28">
        <v>0.3506944444444444</v>
      </c>
      <c r="D19" s="5"/>
      <c r="E19" s="28">
        <v>0.5590277777777778</v>
      </c>
      <c r="F19" s="5"/>
      <c r="G19" s="28">
        <v>0.6034722222222222</v>
      </c>
      <c r="H19" s="5"/>
      <c r="I19" s="28">
        <v>0.7472222222222222</v>
      </c>
      <c r="J19" s="5"/>
      <c r="K19" s="12"/>
      <c r="L19" s="39">
        <v>0.0</v>
      </c>
      <c r="M19" s="29"/>
      <c r="N19" s="31"/>
      <c r="O19" s="35"/>
      <c r="P19" s="13"/>
      <c r="Q19" s="13"/>
      <c r="R19" s="13"/>
      <c r="S19" s="13"/>
    </row>
    <row r="20">
      <c r="A20" s="30">
        <v>13.0</v>
      </c>
      <c r="B20" s="32" t="s">
        <v>20</v>
      </c>
      <c r="C20" s="36">
        <v>0.3486111111111111</v>
      </c>
      <c r="D20" s="5"/>
      <c r="E20" s="36">
        <v>0.5631944444444444</v>
      </c>
      <c r="F20" s="5"/>
      <c r="G20" s="36">
        <v>0.6090277777777777</v>
      </c>
      <c r="H20" s="5"/>
      <c r="I20" s="36">
        <v>0.7465277777777778</v>
      </c>
      <c r="J20" s="5"/>
      <c r="K20" s="12"/>
      <c r="L20" s="29">
        <v>0.0</v>
      </c>
      <c r="M20" s="13"/>
      <c r="N20" s="31"/>
      <c r="O20" s="35"/>
      <c r="P20" s="29"/>
      <c r="Q20" s="13"/>
      <c r="R20" s="13"/>
      <c r="S20" s="29"/>
    </row>
    <row r="21">
      <c r="A21" s="30">
        <v>14.0</v>
      </c>
      <c r="B21" s="33" t="s">
        <v>21</v>
      </c>
      <c r="C21" s="36">
        <v>0.3263888888888889</v>
      </c>
      <c r="D21" s="5"/>
      <c r="E21" s="36"/>
      <c r="F21" s="5"/>
      <c r="G21" s="36"/>
      <c r="H21" s="5"/>
      <c r="I21" s="36">
        <v>0.5104166666666666</v>
      </c>
      <c r="J21" s="5"/>
      <c r="K21" s="12"/>
      <c r="L21" s="29">
        <v>25.0</v>
      </c>
      <c r="M21" s="13"/>
      <c r="N21" s="29"/>
      <c r="O21" s="35"/>
      <c r="P21" s="13"/>
      <c r="Q21" s="13"/>
      <c r="R21" s="13"/>
      <c r="S21" s="29"/>
    </row>
    <row r="22">
      <c r="A22" s="30">
        <v>15.0</v>
      </c>
      <c r="B22" s="33" t="s">
        <v>23</v>
      </c>
      <c r="C22" s="36"/>
      <c r="D22" s="5"/>
      <c r="E22" s="36"/>
      <c r="F22" s="5"/>
      <c r="G22" s="36"/>
      <c r="H22" s="5"/>
      <c r="I22" s="36"/>
      <c r="J22" s="5"/>
      <c r="K22" s="12"/>
      <c r="L22" s="29"/>
      <c r="M22" s="29"/>
      <c r="N22" s="31"/>
      <c r="O22" s="29"/>
      <c r="P22" s="13"/>
      <c r="Q22" s="13"/>
      <c r="R22" s="13"/>
      <c r="S22" s="13"/>
    </row>
    <row r="23">
      <c r="A23" s="30">
        <v>16.0</v>
      </c>
      <c r="B23" s="32" t="s">
        <v>24</v>
      </c>
      <c r="C23" s="147" t="s">
        <v>78</v>
      </c>
      <c r="D23" s="15"/>
      <c r="E23" s="15"/>
      <c r="F23" s="15"/>
      <c r="G23" s="15"/>
      <c r="H23" s="15"/>
      <c r="I23" s="15"/>
      <c r="J23" s="5"/>
      <c r="K23" s="12"/>
      <c r="L23" s="29"/>
      <c r="M23" s="13"/>
      <c r="N23" s="29"/>
      <c r="O23" s="35"/>
      <c r="P23" s="13"/>
      <c r="Q23" s="13"/>
      <c r="R23" s="13"/>
      <c r="S23" s="29"/>
    </row>
    <row r="24">
      <c r="A24" s="30">
        <v>17.0</v>
      </c>
      <c r="B24" s="33" t="s">
        <v>58</v>
      </c>
      <c r="C24" s="147" t="s">
        <v>79</v>
      </c>
      <c r="D24" s="15"/>
      <c r="E24" s="15"/>
      <c r="F24" s="15"/>
      <c r="G24" s="15"/>
      <c r="H24" s="15"/>
      <c r="I24" s="15"/>
      <c r="J24" s="5"/>
      <c r="K24" s="12"/>
      <c r="L24" s="29" t="s">
        <v>80</v>
      </c>
      <c r="M24" s="13"/>
      <c r="O24" s="35"/>
      <c r="P24" s="29"/>
      <c r="Q24" s="13"/>
      <c r="R24" s="13"/>
      <c r="S24" s="13"/>
    </row>
    <row r="25">
      <c r="A25" s="30">
        <v>18.0</v>
      </c>
      <c r="B25" s="33" t="s">
        <v>18</v>
      </c>
      <c r="C25" s="36">
        <v>0.35138888888888886</v>
      </c>
      <c r="D25" s="5"/>
      <c r="E25" s="28">
        <v>0.5527777777777778</v>
      </c>
      <c r="F25" s="5"/>
      <c r="G25" s="28">
        <v>0.5986111111111111</v>
      </c>
      <c r="H25" s="5"/>
      <c r="I25" s="28">
        <v>0.75</v>
      </c>
      <c r="J25" s="5"/>
      <c r="K25" s="12"/>
      <c r="L25" s="29">
        <v>0.0</v>
      </c>
      <c r="M25" s="13"/>
      <c r="N25" s="31"/>
      <c r="O25" s="35"/>
      <c r="P25" s="29"/>
      <c r="Q25" s="13"/>
      <c r="R25" s="13"/>
      <c r="S25" s="13"/>
    </row>
    <row r="26">
      <c r="A26" s="30">
        <v>19.0</v>
      </c>
      <c r="B26" s="32" t="s">
        <v>19</v>
      </c>
      <c r="C26" s="28">
        <v>0.34930555555555554</v>
      </c>
      <c r="D26" s="5"/>
      <c r="E26" s="28">
        <v>0.5680555555555555</v>
      </c>
      <c r="F26" s="5"/>
      <c r="G26" s="28">
        <v>0.6145833333333334</v>
      </c>
      <c r="H26" s="5"/>
      <c r="I26" s="28">
        <v>0.7472222222222222</v>
      </c>
      <c r="J26" s="5"/>
      <c r="K26" s="40"/>
      <c r="L26" s="29">
        <v>0.0</v>
      </c>
      <c r="M26" s="29"/>
      <c r="N26" s="31" t="s">
        <v>76</v>
      </c>
      <c r="O26" s="35">
        <v>0.04652777777777778</v>
      </c>
      <c r="P26" s="29" t="s">
        <v>81</v>
      </c>
      <c r="Q26" s="13"/>
      <c r="R26" s="13"/>
      <c r="S26" s="93" t="s">
        <v>82</v>
      </c>
    </row>
    <row r="27">
      <c r="A27" s="30">
        <v>20.0</v>
      </c>
      <c r="B27" s="33" t="s">
        <v>20</v>
      </c>
      <c r="C27" s="36">
        <v>0.35</v>
      </c>
      <c r="D27" s="5"/>
      <c r="E27" s="36">
        <v>0.5791666666666667</v>
      </c>
      <c r="F27" s="5"/>
      <c r="G27" s="36">
        <v>0.6291666666666667</v>
      </c>
      <c r="H27" s="5"/>
      <c r="I27" s="36">
        <v>0.7513888888888889</v>
      </c>
      <c r="J27" s="5"/>
      <c r="K27" s="12"/>
      <c r="L27" s="29">
        <v>0.0</v>
      </c>
      <c r="M27" s="13"/>
      <c r="N27" s="13"/>
      <c r="O27" s="13"/>
      <c r="P27" s="13"/>
      <c r="Q27" s="13"/>
      <c r="R27" s="13"/>
      <c r="S27" s="13"/>
    </row>
    <row r="28">
      <c r="A28" s="30">
        <v>21.0</v>
      </c>
      <c r="B28" s="33" t="s">
        <v>21</v>
      </c>
      <c r="C28" s="28"/>
      <c r="D28" s="5"/>
      <c r="E28" s="28"/>
      <c r="F28" s="5"/>
      <c r="G28" s="28"/>
      <c r="H28" s="5"/>
      <c r="I28" s="28"/>
      <c r="J28" s="5"/>
      <c r="K28" s="12"/>
      <c r="L28" s="29"/>
      <c r="M28" s="29"/>
      <c r="N28" s="29"/>
      <c r="O28" s="35"/>
      <c r="P28" s="13"/>
      <c r="Q28" s="13"/>
      <c r="R28" s="13"/>
      <c r="S28" s="29"/>
    </row>
    <row r="29">
      <c r="A29" s="30">
        <v>22.0</v>
      </c>
      <c r="B29" s="33" t="s">
        <v>23</v>
      </c>
      <c r="C29" s="28"/>
      <c r="D29" s="5"/>
      <c r="E29" s="28"/>
      <c r="F29" s="5"/>
      <c r="G29" s="28"/>
      <c r="H29" s="5"/>
      <c r="I29" s="28"/>
      <c r="J29" s="5"/>
      <c r="K29" s="12"/>
      <c r="L29" s="29"/>
      <c r="M29" s="13"/>
      <c r="N29" s="29"/>
      <c r="O29" s="35"/>
      <c r="P29" s="13"/>
      <c r="Q29" s="13"/>
      <c r="R29" s="13"/>
      <c r="S29" s="29"/>
    </row>
    <row r="30">
      <c r="A30" s="30">
        <v>23.0</v>
      </c>
      <c r="B30" s="32" t="s">
        <v>24</v>
      </c>
      <c r="C30" s="36">
        <v>0.35138888888888886</v>
      </c>
      <c r="D30" s="5"/>
      <c r="E30" s="36">
        <v>0.5652777777777778</v>
      </c>
      <c r="F30" s="5"/>
      <c r="G30" s="36">
        <v>0.6111111111111112</v>
      </c>
      <c r="H30" s="5"/>
      <c r="I30" s="36">
        <v>0.75625</v>
      </c>
      <c r="J30" s="5"/>
      <c r="K30" s="12"/>
      <c r="L30" s="29">
        <v>12.0</v>
      </c>
      <c r="M30" s="13"/>
      <c r="Q30" s="13"/>
      <c r="R30" s="13"/>
      <c r="S30" s="13"/>
    </row>
    <row r="31">
      <c r="A31" s="30">
        <v>24.0</v>
      </c>
      <c r="B31" s="33" t="s">
        <v>58</v>
      </c>
      <c r="C31" s="36">
        <v>0.35208333333333336</v>
      </c>
      <c r="D31" s="5"/>
      <c r="E31" s="36">
        <v>0.55625</v>
      </c>
      <c r="F31" s="5"/>
      <c r="G31" s="102"/>
      <c r="H31" s="5"/>
      <c r="I31" s="36">
        <v>0.75</v>
      </c>
      <c r="J31" s="5"/>
      <c r="K31" s="12"/>
      <c r="L31" s="29">
        <v>0.0</v>
      </c>
      <c r="M31" s="13"/>
      <c r="N31" s="13"/>
      <c r="O31" s="13"/>
      <c r="P31" s="13"/>
      <c r="Q31" s="13"/>
      <c r="R31" s="13"/>
      <c r="S31" s="13"/>
    </row>
    <row r="32">
      <c r="A32" s="30">
        <v>25.0</v>
      </c>
      <c r="B32" s="33" t="s">
        <v>18</v>
      </c>
      <c r="C32" s="36">
        <v>0.3506944444444444</v>
      </c>
      <c r="D32" s="5"/>
      <c r="E32" s="36">
        <v>0.5583333333333333</v>
      </c>
      <c r="F32" s="5"/>
      <c r="G32" s="36">
        <v>0.6048611111111111</v>
      </c>
      <c r="H32" s="5"/>
      <c r="I32" s="36">
        <v>0.7506944444444444</v>
      </c>
      <c r="J32" s="5"/>
      <c r="K32" s="12"/>
      <c r="L32" s="142">
        <v>0.0</v>
      </c>
      <c r="M32" s="13"/>
      <c r="N32" s="31" t="s">
        <v>76</v>
      </c>
      <c r="O32" s="35">
        <v>0.05</v>
      </c>
      <c r="P32" s="29" t="s">
        <v>81</v>
      </c>
      <c r="Q32" s="13"/>
      <c r="R32" s="13"/>
      <c r="S32" s="13"/>
    </row>
    <row r="33">
      <c r="A33" s="30">
        <v>26.0</v>
      </c>
      <c r="B33" s="33" t="s">
        <v>19</v>
      </c>
      <c r="C33" s="36">
        <v>0.3506944444444444</v>
      </c>
      <c r="D33" s="5"/>
      <c r="E33" s="36">
        <v>0.55625</v>
      </c>
      <c r="F33" s="5"/>
      <c r="G33" s="36">
        <v>0.6048611111111111</v>
      </c>
      <c r="H33" s="5"/>
      <c r="I33" s="36">
        <v>0.7465277777777778</v>
      </c>
      <c r="J33" s="5"/>
      <c r="K33" s="12"/>
      <c r="L33" s="29">
        <v>0.0</v>
      </c>
      <c r="M33" s="29"/>
      <c r="N33" s="31"/>
      <c r="O33" s="43">
        <v>0.05486111111111111</v>
      </c>
      <c r="P33" s="29"/>
      <c r="Q33" s="13"/>
      <c r="R33" s="13"/>
      <c r="S33" s="13"/>
    </row>
    <row r="34">
      <c r="A34" s="30">
        <v>27.0</v>
      </c>
      <c r="B34" s="33" t="s">
        <v>20</v>
      </c>
      <c r="C34" s="36">
        <v>0.3472222222222222</v>
      </c>
      <c r="D34" s="5"/>
      <c r="E34" s="36">
        <v>0.5763888888888888</v>
      </c>
      <c r="F34" s="5"/>
      <c r="G34" s="36">
        <v>0.6215277777777778</v>
      </c>
      <c r="H34" s="5"/>
      <c r="I34" s="36">
        <v>0.7756944444444445</v>
      </c>
      <c r="J34" s="5"/>
      <c r="K34" s="12"/>
      <c r="L34" s="29">
        <v>47.0</v>
      </c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30">
        <v>28.0</v>
      </c>
      <c r="B35" s="33" t="s">
        <v>21</v>
      </c>
      <c r="C35" s="36"/>
      <c r="D35" s="5"/>
      <c r="E35" s="28"/>
      <c r="F35" s="5"/>
      <c r="G35" s="28"/>
      <c r="H35" s="5"/>
      <c r="I35" s="28"/>
      <c r="J35" s="5"/>
      <c r="K35" s="13"/>
      <c r="L35" s="29">
        <v>0.0</v>
      </c>
      <c r="M35" s="46"/>
      <c r="N35" s="31" t="s">
        <v>76</v>
      </c>
      <c r="O35" s="35">
        <v>0.08263888888888889</v>
      </c>
      <c r="P35" s="29" t="s">
        <v>81</v>
      </c>
      <c r="Q35" s="13"/>
      <c r="R35" s="13"/>
      <c r="S35" s="29"/>
      <c r="T35" s="13"/>
      <c r="U35" s="13"/>
      <c r="V35" s="13"/>
    </row>
    <row r="36">
      <c r="A36" s="47" t="s">
        <v>31</v>
      </c>
      <c r="B36" s="15"/>
      <c r="C36" s="15"/>
      <c r="D36" s="15"/>
      <c r="E36" s="15"/>
      <c r="F36" s="15"/>
      <c r="G36" s="15"/>
      <c r="H36" s="15"/>
      <c r="I36" s="15"/>
      <c r="J36" s="5"/>
      <c r="K36" s="6"/>
      <c r="L36" s="13"/>
      <c r="M36" s="13"/>
      <c r="N36" s="31"/>
      <c r="O36" s="43">
        <v>0.0875</v>
      </c>
      <c r="P36" s="13"/>
      <c r="Q36" s="13"/>
      <c r="R36" s="13"/>
      <c r="S36" s="13"/>
    </row>
    <row r="37">
      <c r="A37" s="48" t="s">
        <v>83</v>
      </c>
      <c r="B37" s="15"/>
      <c r="C37" s="15"/>
      <c r="D37" s="15"/>
      <c r="E37" s="15"/>
      <c r="F37" s="15"/>
      <c r="G37" s="15"/>
      <c r="H37" s="15"/>
      <c r="I37" s="15"/>
      <c r="J37" s="5"/>
      <c r="K37" s="6"/>
      <c r="L37" s="13"/>
      <c r="M37" s="13"/>
      <c r="N37" s="13"/>
      <c r="O37" s="13"/>
      <c r="P37" s="13"/>
      <c r="Q37" s="13"/>
      <c r="R37" s="13"/>
      <c r="S37" s="13"/>
    </row>
    <row r="38">
      <c r="A38" s="49" t="s">
        <v>84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3"/>
      <c r="M38" s="13"/>
      <c r="N38" s="13"/>
      <c r="O38" s="13"/>
      <c r="P38" s="13"/>
      <c r="Q38" s="13"/>
      <c r="R38" s="13"/>
      <c r="S38" s="13"/>
    </row>
    <row r="39">
      <c r="A39" s="50" t="s">
        <v>85</v>
      </c>
      <c r="B39" s="3"/>
      <c r="C39" s="3"/>
      <c r="D39" s="3"/>
      <c r="E39" s="3"/>
      <c r="F39" s="3"/>
      <c r="G39" s="3"/>
      <c r="H39" s="3"/>
      <c r="I39" s="3"/>
      <c r="J39" s="2"/>
      <c r="K39" s="6"/>
      <c r="M39" s="13"/>
      <c r="N39" s="13"/>
      <c r="O39" s="13"/>
      <c r="P39" s="13"/>
      <c r="Q39" s="13"/>
      <c r="R39" s="13"/>
      <c r="S39" s="13"/>
    </row>
    <row r="40">
      <c r="A40" s="51" t="s">
        <v>35</v>
      </c>
      <c r="B40" s="52"/>
      <c r="C40" s="52"/>
      <c r="D40" s="52"/>
      <c r="E40" s="52"/>
      <c r="F40" s="52"/>
      <c r="G40" s="3"/>
      <c r="H40" s="52"/>
      <c r="I40" s="52"/>
      <c r="J40" s="53"/>
      <c r="K40" s="6"/>
      <c r="M40" s="13"/>
      <c r="N40" s="13"/>
      <c r="O40" s="13"/>
      <c r="P40" s="13"/>
      <c r="Q40" s="13"/>
      <c r="R40" s="13"/>
      <c r="S40" s="13"/>
    </row>
    <row r="41">
      <c r="A41" s="54" t="s">
        <v>36</v>
      </c>
      <c r="B41" s="55"/>
      <c r="C41" s="56" t="s">
        <v>37</v>
      </c>
      <c r="D41" s="55"/>
      <c r="F41" s="55"/>
      <c r="H41" s="55"/>
      <c r="I41" s="55"/>
      <c r="J41" s="57"/>
    </row>
    <row r="42">
      <c r="A42" s="58"/>
      <c r="B42" s="59"/>
      <c r="C42" s="59"/>
      <c r="D42" s="59"/>
      <c r="E42" s="11"/>
      <c r="F42" s="59"/>
      <c r="G42" s="11"/>
      <c r="H42" s="59"/>
      <c r="I42" s="59"/>
      <c r="J42" s="60"/>
      <c r="L42" s="41"/>
    </row>
  </sheetData>
  <mergeCells count="129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6:D26"/>
    <mergeCell ref="C27:D27"/>
    <mergeCell ref="E27:F27"/>
    <mergeCell ref="G27:H27"/>
    <mergeCell ref="I27:J27"/>
    <mergeCell ref="C28:D28"/>
    <mergeCell ref="E28:F28"/>
    <mergeCell ref="C29:D29"/>
    <mergeCell ref="E29:F29"/>
    <mergeCell ref="G29:H29"/>
    <mergeCell ref="I29:J29"/>
    <mergeCell ref="E30:F30"/>
    <mergeCell ref="G30:H30"/>
    <mergeCell ref="I30:J30"/>
    <mergeCell ref="G32:H32"/>
    <mergeCell ref="I32:J32"/>
    <mergeCell ref="C30:D30"/>
    <mergeCell ref="C31:D31"/>
    <mergeCell ref="E31:F31"/>
    <mergeCell ref="G31:H31"/>
    <mergeCell ref="I31:J31"/>
    <mergeCell ref="C32:D32"/>
    <mergeCell ref="E32:F32"/>
    <mergeCell ref="D42:E42"/>
    <mergeCell ref="F42:G42"/>
    <mergeCell ref="A36:J36"/>
    <mergeCell ref="A37:J37"/>
    <mergeCell ref="A38:J38"/>
    <mergeCell ref="A39:J39"/>
    <mergeCell ref="F40:G40"/>
    <mergeCell ref="D41:E41"/>
    <mergeCell ref="F41:G41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C21:D21"/>
    <mergeCell ref="C22:D22"/>
    <mergeCell ref="E22:F22"/>
    <mergeCell ref="G22:H22"/>
    <mergeCell ref="I22:J22"/>
    <mergeCell ref="C23:J23"/>
    <mergeCell ref="C24:J24"/>
    <mergeCell ref="C25:D25"/>
    <mergeCell ref="E25:F25"/>
    <mergeCell ref="G25:H25"/>
    <mergeCell ref="I25:J25"/>
    <mergeCell ref="E26:F26"/>
    <mergeCell ref="G26:H26"/>
    <mergeCell ref="I26:J26"/>
    <mergeCell ref="G28:H28"/>
    <mergeCell ref="I28:J28"/>
    <mergeCell ref="C34:D34"/>
    <mergeCell ref="C35:D35"/>
    <mergeCell ref="E35:F35"/>
    <mergeCell ref="G35:H35"/>
    <mergeCell ref="I35:J35"/>
    <mergeCell ref="C33:D33"/>
    <mergeCell ref="E33:F33"/>
    <mergeCell ref="G33:H33"/>
    <mergeCell ref="I33:J33"/>
    <mergeCell ref="E34:F34"/>
    <mergeCell ref="G34:H34"/>
    <mergeCell ref="I34:J34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  <c r="L5" s="13"/>
      <c r="M5" s="13"/>
      <c r="N5" s="13"/>
    </row>
    <row r="6">
      <c r="A6" s="66" t="s">
        <v>10</v>
      </c>
      <c r="B6" s="19" t="s">
        <v>75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/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</row>
    <row r="8">
      <c r="A8" s="148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6"/>
      <c r="L8" s="90">
        <f>(E8-C8)+(I8-G8)</f>
        <v>0</v>
      </c>
      <c r="M8" s="90">
        <v>0.0</v>
      </c>
      <c r="N8" s="90">
        <v>0.0</v>
      </c>
      <c r="S8" s="13"/>
      <c r="T8" s="29"/>
      <c r="U8" s="29"/>
      <c r="V8" s="13"/>
      <c r="W8" s="13"/>
      <c r="X8" s="13"/>
      <c r="Y8" s="13"/>
      <c r="Z8" s="13"/>
    </row>
    <row r="9">
      <c r="A9" s="149">
        <v>2.0</v>
      </c>
      <c r="B9" s="27" t="s">
        <v>24</v>
      </c>
      <c r="C9" s="34" t="s">
        <v>68</v>
      </c>
      <c r="D9" s="15"/>
      <c r="E9" s="15"/>
      <c r="F9" s="15"/>
      <c r="G9" s="15"/>
      <c r="H9" s="15"/>
      <c r="I9" s="15"/>
      <c r="J9" s="5"/>
      <c r="K9" s="6"/>
      <c r="L9" s="90">
        <v>0.0</v>
      </c>
      <c r="M9" s="90">
        <v>0.0</v>
      </c>
      <c r="N9" s="90">
        <v>0.3333333333333333</v>
      </c>
      <c r="S9" s="13"/>
      <c r="T9" s="29"/>
      <c r="U9" s="29"/>
      <c r="V9" s="13"/>
      <c r="W9" s="13"/>
      <c r="X9" s="13"/>
      <c r="Y9" s="13"/>
      <c r="Z9" s="13"/>
    </row>
    <row r="10">
      <c r="A10" s="149">
        <v>3.0</v>
      </c>
      <c r="B10" s="32" t="s">
        <v>58</v>
      </c>
      <c r="C10" s="28">
        <v>0.35</v>
      </c>
      <c r="D10" s="5"/>
      <c r="E10" s="28">
        <v>0.5138888888888888</v>
      </c>
      <c r="F10" s="5"/>
      <c r="G10" s="28">
        <v>0.5555555555555556</v>
      </c>
      <c r="H10" s="5"/>
      <c r="I10" s="28">
        <v>0.7465277777777778</v>
      </c>
      <c r="J10" s="5"/>
      <c r="K10" s="6"/>
      <c r="L10" s="90">
        <f t="shared" ref="L10:L12" si="1">(E10-C10)+(I10-G10)</f>
        <v>0.3548611111</v>
      </c>
      <c r="M10" s="92">
        <f t="shared" ref="M10:M12" si="2">IF((L10-$M$3)&gt;$M$4,L10-$M$3,0)</f>
        <v>0.02152777778</v>
      </c>
      <c r="N10" s="91">
        <f t="shared" ref="N10:N12" si="3">+IF(($M$3-L10)&gt;$M$4,$M$3-L10,0)</f>
        <v>0</v>
      </c>
      <c r="S10" s="13"/>
      <c r="T10" s="29"/>
      <c r="U10" s="29"/>
      <c r="V10" s="13"/>
      <c r="W10" s="13"/>
      <c r="X10" s="13"/>
      <c r="Y10" s="13"/>
      <c r="Z10" s="13"/>
    </row>
    <row r="11">
      <c r="A11" s="149">
        <v>4.0</v>
      </c>
      <c r="B11" s="33" t="s">
        <v>18</v>
      </c>
      <c r="C11" s="28">
        <v>0.35</v>
      </c>
      <c r="D11" s="5"/>
      <c r="E11" s="28">
        <v>0.5006944444444444</v>
      </c>
      <c r="F11" s="5"/>
      <c r="G11" s="28">
        <v>0.5416666666666666</v>
      </c>
      <c r="H11" s="5"/>
      <c r="I11" s="28">
        <v>0.7486111111111111</v>
      </c>
      <c r="J11" s="5"/>
      <c r="K11" s="6"/>
      <c r="L11" s="90">
        <f t="shared" si="1"/>
        <v>0.3576388889</v>
      </c>
      <c r="M11" s="92">
        <f t="shared" si="2"/>
        <v>0.02430555556</v>
      </c>
      <c r="N11" s="91">
        <f t="shared" si="3"/>
        <v>0</v>
      </c>
      <c r="S11" s="13"/>
      <c r="T11" s="29"/>
      <c r="U11" s="29"/>
      <c r="V11" s="13"/>
      <c r="W11" s="13"/>
      <c r="X11" s="13"/>
      <c r="Y11" s="13"/>
      <c r="Z11" s="13"/>
    </row>
    <row r="12">
      <c r="A12" s="149">
        <v>5.0</v>
      </c>
      <c r="B12" s="27" t="s">
        <v>19</v>
      </c>
      <c r="C12" s="150">
        <v>0.35347222222222224</v>
      </c>
      <c r="D12" s="5"/>
      <c r="E12" s="150">
        <v>0.5</v>
      </c>
      <c r="F12" s="5"/>
      <c r="G12" s="150">
        <v>0.5416666666666666</v>
      </c>
      <c r="H12" s="5"/>
      <c r="I12" s="150">
        <v>0.7618055555555555</v>
      </c>
      <c r="J12" s="5"/>
      <c r="K12" s="6"/>
      <c r="L12" s="90">
        <f t="shared" si="1"/>
        <v>0.3666666667</v>
      </c>
      <c r="M12" s="92">
        <f t="shared" si="2"/>
        <v>0.03333333333</v>
      </c>
      <c r="N12" s="91">
        <f t="shared" si="3"/>
        <v>0</v>
      </c>
      <c r="S12" s="13"/>
      <c r="T12" s="29"/>
      <c r="U12" s="29"/>
      <c r="V12" s="13"/>
      <c r="W12" s="13"/>
      <c r="X12" s="13"/>
      <c r="Y12" s="13"/>
      <c r="Z12" s="13"/>
    </row>
    <row r="13">
      <c r="A13" s="149">
        <v>6.0</v>
      </c>
      <c r="B13" s="32" t="s">
        <v>20</v>
      </c>
      <c r="C13" s="147" t="s">
        <v>68</v>
      </c>
      <c r="D13" s="15"/>
      <c r="E13" s="15"/>
      <c r="F13" s="15"/>
      <c r="G13" s="15"/>
      <c r="H13" s="15"/>
      <c r="I13" s="15"/>
      <c r="J13" s="5"/>
      <c r="K13" s="6"/>
      <c r="L13" s="90">
        <v>0.0</v>
      </c>
      <c r="M13" s="89">
        <v>0.0</v>
      </c>
      <c r="N13" s="90">
        <v>0.3333333333333333</v>
      </c>
      <c r="S13" s="29"/>
      <c r="T13" s="29"/>
      <c r="U13" s="29"/>
      <c r="V13" s="29"/>
      <c r="W13" s="37"/>
      <c r="X13" s="35"/>
      <c r="Y13" s="13"/>
      <c r="Z13" s="13"/>
    </row>
    <row r="14">
      <c r="A14" s="149">
        <v>7.0</v>
      </c>
      <c r="B14" s="33" t="s">
        <v>21</v>
      </c>
      <c r="C14" s="150">
        <v>0.32916666666666666</v>
      </c>
      <c r="D14" s="5"/>
      <c r="E14" s="150"/>
      <c r="F14" s="5"/>
      <c r="G14" s="150"/>
      <c r="H14" s="5"/>
      <c r="I14" s="150">
        <v>0.5083333333333333</v>
      </c>
      <c r="J14" s="5"/>
      <c r="K14" s="6"/>
      <c r="L14" s="90">
        <f t="shared" ref="L14:L22" si="4">(E14-C14)+(I14-G14)</f>
        <v>0.1791666667</v>
      </c>
      <c r="M14" s="90">
        <v>0.0125</v>
      </c>
      <c r="N14" s="89">
        <v>0.0</v>
      </c>
      <c r="S14" s="13"/>
      <c r="T14" s="29"/>
      <c r="U14" s="29"/>
      <c r="V14" s="93" t="s">
        <v>27</v>
      </c>
      <c r="W14" s="94">
        <v>0.11041666666666666</v>
      </c>
      <c r="X14" s="95"/>
      <c r="Y14" s="95"/>
      <c r="Z14" s="13"/>
    </row>
    <row r="15">
      <c r="A15" s="149">
        <v>8.0</v>
      </c>
      <c r="B15" s="33" t="s">
        <v>23</v>
      </c>
      <c r="C15" s="150"/>
      <c r="D15" s="5"/>
      <c r="E15" s="151"/>
      <c r="F15" s="5"/>
      <c r="G15" s="151"/>
      <c r="H15" s="5"/>
      <c r="I15" s="151"/>
      <c r="J15" s="5"/>
      <c r="K15" s="6"/>
      <c r="L15" s="90">
        <f t="shared" si="4"/>
        <v>0</v>
      </c>
      <c r="M15" s="91">
        <f t="shared" ref="M15:M20" si="5">IF((L15-$M$3)&gt;$M$4,L15-$M$3,0)</f>
        <v>0</v>
      </c>
      <c r="N15" s="92">
        <f t="shared" ref="N15:N20" si="6">+IF(($M$3-L15)&gt;$M$4,$M$3-L15,0)</f>
        <v>0.3333333333</v>
      </c>
      <c r="S15" s="29"/>
      <c r="T15" s="29"/>
      <c r="U15" s="29"/>
      <c r="V15" s="29"/>
      <c r="W15" s="37"/>
      <c r="X15" s="35"/>
      <c r="Y15" s="13"/>
      <c r="Z15" s="13"/>
    </row>
    <row r="16">
      <c r="A16" s="149">
        <v>9.0</v>
      </c>
      <c r="B16" s="27" t="s">
        <v>24</v>
      </c>
      <c r="C16" s="150">
        <v>0.3486111111111111</v>
      </c>
      <c r="D16" s="5"/>
      <c r="E16" s="150">
        <v>0.5</v>
      </c>
      <c r="F16" s="5"/>
      <c r="G16" s="150">
        <v>0.5416666666666666</v>
      </c>
      <c r="H16" s="5"/>
      <c r="I16" s="150">
        <v>0.7444444444444445</v>
      </c>
      <c r="J16" s="5"/>
      <c r="K16" s="6"/>
      <c r="L16" s="90">
        <f t="shared" si="4"/>
        <v>0.3541666667</v>
      </c>
      <c r="M16" s="92">
        <f t="shared" si="5"/>
        <v>0.02083333333</v>
      </c>
      <c r="N16" s="91">
        <f t="shared" si="6"/>
        <v>0</v>
      </c>
      <c r="S16" s="13"/>
      <c r="T16" s="29"/>
      <c r="U16" s="29"/>
      <c r="V16" s="13"/>
      <c r="W16" s="13"/>
      <c r="X16" s="13"/>
      <c r="Y16" s="13"/>
      <c r="Z16" s="13"/>
    </row>
    <row r="17">
      <c r="A17" s="149">
        <v>10.0</v>
      </c>
      <c r="B17" s="32" t="s">
        <v>58</v>
      </c>
      <c r="C17" s="150">
        <v>0.3576388888888889</v>
      </c>
      <c r="D17" s="5"/>
      <c r="E17" s="150">
        <v>0.5</v>
      </c>
      <c r="F17" s="5"/>
      <c r="G17" s="150">
        <v>0.5416666666666666</v>
      </c>
      <c r="H17" s="5"/>
      <c r="I17" s="150">
        <v>0.7458333333333333</v>
      </c>
      <c r="J17" s="5"/>
      <c r="K17" s="6"/>
      <c r="L17" s="90">
        <f t="shared" si="4"/>
        <v>0.3465277778</v>
      </c>
      <c r="M17" s="92">
        <f t="shared" si="5"/>
        <v>0.01319444444</v>
      </c>
      <c r="N17" s="91">
        <f t="shared" si="6"/>
        <v>0</v>
      </c>
      <c r="S17" s="13"/>
      <c r="T17" s="35"/>
      <c r="U17" s="29"/>
      <c r="V17" s="13"/>
      <c r="W17" s="13"/>
      <c r="X17" s="13"/>
      <c r="Y17" s="13"/>
      <c r="Z17" s="13"/>
    </row>
    <row r="18">
      <c r="A18" s="149">
        <v>11.0</v>
      </c>
      <c r="B18" s="33" t="s">
        <v>18</v>
      </c>
      <c r="C18" s="150">
        <v>0.34930555555555554</v>
      </c>
      <c r="D18" s="5"/>
      <c r="E18" s="150">
        <v>0.5</v>
      </c>
      <c r="F18" s="5"/>
      <c r="G18" s="150">
        <v>0.5416666666666666</v>
      </c>
      <c r="H18" s="5"/>
      <c r="I18" s="150">
        <v>0.74375</v>
      </c>
      <c r="J18" s="5"/>
      <c r="K18" s="6"/>
      <c r="L18" s="90">
        <f t="shared" si="4"/>
        <v>0.3527777778</v>
      </c>
      <c r="M18" s="92">
        <f t="shared" si="5"/>
        <v>0.01944444444</v>
      </c>
      <c r="N18" s="91">
        <f t="shared" si="6"/>
        <v>0</v>
      </c>
      <c r="S18" s="13"/>
      <c r="T18" s="29"/>
      <c r="U18" s="29"/>
      <c r="V18" s="29"/>
      <c r="W18" s="37"/>
      <c r="X18" s="35"/>
      <c r="Y18" s="13"/>
      <c r="Z18" s="13"/>
    </row>
    <row r="19">
      <c r="A19" s="149">
        <v>12.0</v>
      </c>
      <c r="B19" s="27" t="s">
        <v>19</v>
      </c>
      <c r="C19" s="150">
        <v>0.3506944444444444</v>
      </c>
      <c r="D19" s="5"/>
      <c r="E19" s="150">
        <v>0.5</v>
      </c>
      <c r="F19" s="5"/>
      <c r="G19" s="150">
        <v>0.5423611111111111</v>
      </c>
      <c r="H19" s="5"/>
      <c r="I19" s="150">
        <v>0.7472222222222222</v>
      </c>
      <c r="J19" s="5"/>
      <c r="K19" s="6"/>
      <c r="L19" s="90">
        <f t="shared" si="4"/>
        <v>0.3541666667</v>
      </c>
      <c r="M19" s="92">
        <f t="shared" si="5"/>
        <v>0.02083333333</v>
      </c>
      <c r="N19" s="91">
        <f t="shared" si="6"/>
        <v>0</v>
      </c>
      <c r="S19" s="13"/>
      <c r="T19" s="29"/>
      <c r="U19" s="29"/>
      <c r="V19" s="29"/>
      <c r="W19" s="37"/>
      <c r="X19" s="35"/>
      <c r="Y19" s="13"/>
      <c r="Z19" s="13"/>
    </row>
    <row r="20">
      <c r="A20" s="149">
        <v>13.0</v>
      </c>
      <c r="B20" s="32" t="s">
        <v>20</v>
      </c>
      <c r="C20" s="150">
        <v>0.3590277777777778</v>
      </c>
      <c r="D20" s="5"/>
      <c r="E20" s="150">
        <v>0.5069444444444444</v>
      </c>
      <c r="F20" s="5"/>
      <c r="G20" s="150">
        <v>0.5486111111111112</v>
      </c>
      <c r="H20" s="5"/>
      <c r="I20" s="150">
        <v>0.7479166666666667</v>
      </c>
      <c r="J20" s="5"/>
      <c r="K20" s="6"/>
      <c r="L20" s="90">
        <f t="shared" si="4"/>
        <v>0.3472222222</v>
      </c>
      <c r="M20" s="92">
        <f t="shared" si="5"/>
        <v>0.01388888889</v>
      </c>
      <c r="N20" s="91">
        <f t="shared" si="6"/>
        <v>0</v>
      </c>
      <c r="S20" s="13"/>
      <c r="T20" s="29"/>
      <c r="U20" s="29"/>
      <c r="V20" s="93" t="s">
        <v>27</v>
      </c>
      <c r="W20" s="94">
        <v>0.2534722222222222</v>
      </c>
      <c r="X20" s="95"/>
      <c r="Y20" s="95"/>
      <c r="Z20" s="13"/>
    </row>
    <row r="21">
      <c r="A21" s="149">
        <v>14.0</v>
      </c>
      <c r="B21" s="33" t="s">
        <v>21</v>
      </c>
      <c r="C21" s="150">
        <v>0.3263888888888889</v>
      </c>
      <c r="D21" s="5"/>
      <c r="E21" s="150"/>
      <c r="F21" s="5"/>
      <c r="G21" s="150"/>
      <c r="H21" s="5"/>
      <c r="I21" s="150">
        <v>0.5104166666666666</v>
      </c>
      <c r="J21" s="5"/>
      <c r="K21" s="6"/>
      <c r="L21" s="90">
        <f t="shared" si="4"/>
        <v>0.1840277778</v>
      </c>
      <c r="M21" s="90">
        <v>0.017361111111111112</v>
      </c>
      <c r="N21" s="89">
        <v>0.0</v>
      </c>
      <c r="S21" s="29"/>
      <c r="T21" s="96"/>
      <c r="U21" s="29"/>
      <c r="V21" s="29"/>
      <c r="W21" s="37"/>
      <c r="X21" s="35"/>
      <c r="Y21" s="13"/>
      <c r="Z21" s="13"/>
    </row>
    <row r="22">
      <c r="A22" s="149">
        <v>15.0</v>
      </c>
      <c r="B22" s="33" t="s">
        <v>23</v>
      </c>
      <c r="C22" s="152"/>
      <c r="D22" s="5"/>
      <c r="E22" s="152"/>
      <c r="F22" s="5"/>
      <c r="G22" s="152"/>
      <c r="H22" s="5"/>
      <c r="I22" s="152"/>
      <c r="J22" s="5"/>
      <c r="K22" s="124"/>
      <c r="L22" s="90">
        <f t="shared" si="4"/>
        <v>0</v>
      </c>
      <c r="M22" s="91">
        <f>IF((L22-$M$3)&gt;$M$4,L22-$M$3,0)</f>
        <v>0</v>
      </c>
      <c r="N22" s="89">
        <v>0.0</v>
      </c>
      <c r="S22" s="29"/>
      <c r="T22" s="29"/>
      <c r="U22" s="29"/>
      <c r="V22" s="29"/>
      <c r="W22" s="31"/>
      <c r="X22" s="35"/>
      <c r="Y22" s="13"/>
      <c r="Z22" s="13"/>
    </row>
    <row r="23">
      <c r="A23" s="149">
        <v>16.0</v>
      </c>
      <c r="B23" s="32" t="s">
        <v>24</v>
      </c>
      <c r="C23" s="147" t="s">
        <v>78</v>
      </c>
      <c r="D23" s="15"/>
      <c r="E23" s="15"/>
      <c r="F23" s="15"/>
      <c r="G23" s="15"/>
      <c r="H23" s="15"/>
      <c r="I23" s="15"/>
      <c r="J23" s="5"/>
      <c r="K23" s="6"/>
      <c r="L23" s="90">
        <v>0.0</v>
      </c>
      <c r="M23" s="89">
        <v>0.0</v>
      </c>
      <c r="N23" s="90">
        <v>0.0</v>
      </c>
      <c r="S23" s="13"/>
      <c r="T23" s="29"/>
      <c r="U23" s="29"/>
      <c r="V23" s="93" t="s">
        <v>27</v>
      </c>
      <c r="W23" s="94">
        <v>0.2951388888888889</v>
      </c>
      <c r="X23" s="95"/>
      <c r="Y23" s="95"/>
      <c r="Z23" s="13"/>
    </row>
    <row r="24">
      <c r="A24" s="149">
        <v>17.0</v>
      </c>
      <c r="B24" s="33" t="s">
        <v>58</v>
      </c>
      <c r="C24" s="147" t="s">
        <v>79</v>
      </c>
      <c r="D24" s="15"/>
      <c r="E24" s="15"/>
      <c r="F24" s="15"/>
      <c r="G24" s="15"/>
      <c r="H24" s="15"/>
      <c r="I24" s="15"/>
      <c r="J24" s="5"/>
      <c r="K24" s="6"/>
      <c r="L24" s="89">
        <v>0.0</v>
      </c>
      <c r="M24" s="90">
        <v>0.0</v>
      </c>
      <c r="N24" s="90">
        <v>0.3333333333333333</v>
      </c>
      <c r="S24" s="13"/>
      <c r="T24" s="29"/>
      <c r="U24" s="29"/>
      <c r="V24" s="29"/>
      <c r="W24" s="29"/>
      <c r="X24" s="35"/>
      <c r="Y24" s="13"/>
      <c r="Z24" s="13"/>
    </row>
    <row r="25">
      <c r="A25" s="149">
        <v>18.0</v>
      </c>
      <c r="B25" s="33" t="s">
        <v>18</v>
      </c>
      <c r="C25" s="150">
        <v>0.35138888888888886</v>
      </c>
      <c r="D25" s="5"/>
      <c r="E25" s="150">
        <v>0.5</v>
      </c>
      <c r="F25" s="5"/>
      <c r="G25" s="150">
        <v>0.5416666666666666</v>
      </c>
      <c r="H25" s="5"/>
      <c r="I25" s="150">
        <v>0.7506944444444444</v>
      </c>
      <c r="J25" s="5"/>
      <c r="K25" s="6"/>
      <c r="L25" s="90">
        <f t="shared" ref="L25:L35" si="7">(E25-C25)+(I25-G25)</f>
        <v>0.3576388889</v>
      </c>
      <c r="M25" s="92">
        <f t="shared" ref="M25:M36" si="8">IF((L25-$M$3)&gt;$M$4,L25-$M$3,0)</f>
        <v>0.02430555556</v>
      </c>
      <c r="N25" s="91">
        <f>+IF(($M$3-L25)&gt;$M$4,$M$3-L25,0)</f>
        <v>0</v>
      </c>
      <c r="S25" s="13"/>
      <c r="T25" s="29"/>
      <c r="U25" s="29"/>
      <c r="V25" s="13"/>
      <c r="W25" s="13"/>
      <c r="X25" s="13"/>
      <c r="Y25" s="13"/>
      <c r="Z25" s="13"/>
    </row>
    <row r="26">
      <c r="A26" s="149">
        <v>19.0</v>
      </c>
      <c r="B26" s="32" t="s">
        <v>19</v>
      </c>
      <c r="C26" s="150">
        <v>0.34930555555555554</v>
      </c>
      <c r="D26" s="5"/>
      <c r="E26" s="150">
        <v>0.5</v>
      </c>
      <c r="F26" s="5"/>
      <c r="G26" s="150">
        <v>0.5416666666666666</v>
      </c>
      <c r="H26" s="5"/>
      <c r="I26" s="150">
        <v>0.7472222222222222</v>
      </c>
      <c r="J26" s="5"/>
      <c r="K26" s="127"/>
      <c r="L26" s="90">
        <f t="shared" si="7"/>
        <v>0.35625</v>
      </c>
      <c r="M26" s="92">
        <f t="shared" si="8"/>
        <v>0.02291666667</v>
      </c>
      <c r="N26" s="90">
        <v>0.0</v>
      </c>
      <c r="S26" s="29"/>
      <c r="T26" s="29"/>
      <c r="U26" s="29"/>
      <c r="V26" s="29"/>
      <c r="W26" s="37"/>
      <c r="X26" s="35"/>
      <c r="Y26" s="13"/>
      <c r="Z26" s="13"/>
    </row>
    <row r="27">
      <c r="A27" s="149">
        <v>20.0</v>
      </c>
      <c r="B27" s="33" t="s">
        <v>20</v>
      </c>
      <c r="C27" s="151">
        <v>0.35</v>
      </c>
      <c r="D27" s="5"/>
      <c r="E27" s="151">
        <v>0.4930555555555556</v>
      </c>
      <c r="F27" s="5"/>
      <c r="G27" s="151">
        <v>0.5347222222222222</v>
      </c>
      <c r="H27" s="5"/>
      <c r="I27" s="151">
        <v>0.7506944444444444</v>
      </c>
      <c r="J27" s="5"/>
      <c r="K27" s="6"/>
      <c r="L27" s="90">
        <f t="shared" si="7"/>
        <v>0.3590277778</v>
      </c>
      <c r="M27" s="92">
        <f t="shared" si="8"/>
        <v>0.02569444444</v>
      </c>
      <c r="N27" s="91">
        <f>+IF(($M$3-L27)&gt;$M$4,$M$3-L27,0)</f>
        <v>0</v>
      </c>
      <c r="S27" s="13"/>
      <c r="T27" s="29"/>
      <c r="U27" s="29"/>
      <c r="V27" s="13"/>
      <c r="W27" s="13"/>
      <c r="X27" s="13"/>
      <c r="Y27" s="13"/>
      <c r="Z27" s="13"/>
    </row>
    <row r="28">
      <c r="A28" s="149">
        <v>21.0</v>
      </c>
      <c r="B28" s="33" t="s">
        <v>21</v>
      </c>
      <c r="C28" s="151">
        <v>0.3298611111111111</v>
      </c>
      <c r="D28" s="5"/>
      <c r="E28" s="151"/>
      <c r="F28" s="5"/>
      <c r="G28" s="151"/>
      <c r="H28" s="5"/>
      <c r="I28" s="151">
        <v>0.5013888888888889</v>
      </c>
      <c r="J28" s="5"/>
      <c r="K28" s="6"/>
      <c r="L28" s="90">
        <f t="shared" si="7"/>
        <v>0.1715277778</v>
      </c>
      <c r="M28" s="91">
        <f t="shared" si="8"/>
        <v>0</v>
      </c>
      <c r="N28" s="90">
        <v>0.0</v>
      </c>
      <c r="S28" s="13"/>
      <c r="T28" s="29"/>
      <c r="U28" s="39"/>
      <c r="V28" s="93" t="s">
        <v>27</v>
      </c>
      <c r="W28" s="94">
        <v>0.38055555555555554</v>
      </c>
      <c r="X28" s="93" t="s">
        <v>70</v>
      </c>
      <c r="Y28" s="95"/>
      <c r="Z28" s="13"/>
    </row>
    <row r="29">
      <c r="A29" s="149">
        <v>22.0</v>
      </c>
      <c r="B29" s="33" t="s">
        <v>23</v>
      </c>
      <c r="C29" s="150"/>
      <c r="D29" s="5"/>
      <c r="E29" s="150"/>
      <c r="F29" s="5"/>
      <c r="G29" s="150"/>
      <c r="H29" s="5"/>
      <c r="I29" s="150"/>
      <c r="J29" s="5"/>
      <c r="K29" s="145"/>
      <c r="L29" s="90">
        <f t="shared" si="7"/>
        <v>0</v>
      </c>
      <c r="M29" s="91">
        <f t="shared" si="8"/>
        <v>0</v>
      </c>
      <c r="N29" s="90">
        <v>0.0</v>
      </c>
      <c r="O29" s="13"/>
      <c r="P29" s="13"/>
      <c r="Q29" s="13"/>
      <c r="R29" s="13"/>
      <c r="S29" s="13"/>
    </row>
    <row r="30">
      <c r="A30" s="149">
        <v>23.0</v>
      </c>
      <c r="B30" s="32" t="s">
        <v>24</v>
      </c>
      <c r="C30" s="150">
        <v>0.35138888888888886</v>
      </c>
      <c r="D30" s="5"/>
      <c r="E30" s="150">
        <v>0.5041666666666667</v>
      </c>
      <c r="F30" s="5"/>
      <c r="G30" s="150">
        <v>0.5430555555555555</v>
      </c>
      <c r="H30" s="5"/>
      <c r="I30" s="150">
        <v>0.7520833333333333</v>
      </c>
      <c r="J30" s="5"/>
      <c r="K30" s="6"/>
      <c r="L30" s="90">
        <f t="shared" si="7"/>
        <v>0.3618055556</v>
      </c>
      <c r="M30" s="92">
        <f t="shared" si="8"/>
        <v>0.02847222222</v>
      </c>
      <c r="N30" s="91">
        <f t="shared" ref="N30:N34" si="9">+IF(($M$3-L30)&gt;$M$4,$M$3-L30,0)</f>
        <v>0</v>
      </c>
      <c r="Q30" s="13"/>
      <c r="R30" s="13"/>
      <c r="S30" s="29"/>
    </row>
    <row r="31">
      <c r="A31" s="149">
        <v>24.0</v>
      </c>
      <c r="B31" s="33" t="s">
        <v>58</v>
      </c>
      <c r="C31" s="150">
        <v>0.35208333333333336</v>
      </c>
      <c r="D31" s="5"/>
      <c r="E31" s="150">
        <v>0.5006944444444444</v>
      </c>
      <c r="F31" s="5"/>
      <c r="G31" s="150">
        <v>0.5416666666666666</v>
      </c>
      <c r="H31" s="5"/>
      <c r="I31" s="150">
        <v>0.75</v>
      </c>
      <c r="J31" s="5"/>
      <c r="K31" s="6"/>
      <c r="L31" s="90">
        <f t="shared" si="7"/>
        <v>0.3569444444</v>
      </c>
      <c r="M31" s="92">
        <f t="shared" si="8"/>
        <v>0.02361111111</v>
      </c>
      <c r="N31" s="91">
        <f t="shared" si="9"/>
        <v>0</v>
      </c>
      <c r="O31" s="29"/>
      <c r="P31" s="13"/>
      <c r="Q31" s="13"/>
      <c r="R31" s="13"/>
      <c r="S31" s="13"/>
    </row>
    <row r="32">
      <c r="A32" s="149">
        <v>25.0</v>
      </c>
      <c r="B32" s="33" t="s">
        <v>18</v>
      </c>
      <c r="C32" s="150">
        <v>0.3506944444444444</v>
      </c>
      <c r="D32" s="5"/>
      <c r="E32" s="150">
        <v>0.5</v>
      </c>
      <c r="F32" s="5"/>
      <c r="G32" s="150">
        <v>0.5416666666666666</v>
      </c>
      <c r="H32" s="5"/>
      <c r="I32" s="150">
        <v>0.7513888888888889</v>
      </c>
      <c r="J32" s="5"/>
      <c r="K32" s="6"/>
      <c r="L32" s="90">
        <f t="shared" si="7"/>
        <v>0.3590277778</v>
      </c>
      <c r="M32" s="92">
        <f t="shared" si="8"/>
        <v>0.02569444444</v>
      </c>
      <c r="N32" s="91">
        <f t="shared" si="9"/>
        <v>0</v>
      </c>
      <c r="O32" s="31"/>
      <c r="P32" s="35"/>
      <c r="Q32" s="13"/>
      <c r="R32" s="13"/>
      <c r="S32" s="29"/>
    </row>
    <row r="33">
      <c r="A33" s="149">
        <v>26.0</v>
      </c>
      <c r="B33" s="33" t="s">
        <v>19</v>
      </c>
      <c r="C33" s="150">
        <v>0.3506944444444444</v>
      </c>
      <c r="D33" s="5"/>
      <c r="E33" s="150">
        <v>0.5020833333333333</v>
      </c>
      <c r="F33" s="5"/>
      <c r="G33" s="150">
        <v>0.5416666666666666</v>
      </c>
      <c r="H33" s="5"/>
      <c r="I33" s="150">
        <v>0.7465277777777778</v>
      </c>
      <c r="J33" s="5"/>
      <c r="K33" s="6"/>
      <c r="L33" s="90">
        <f t="shared" si="7"/>
        <v>0.35625</v>
      </c>
      <c r="M33" s="92">
        <f t="shared" si="8"/>
        <v>0.02291666667</v>
      </c>
      <c r="N33" s="91">
        <f t="shared" si="9"/>
        <v>0</v>
      </c>
      <c r="O33" s="31"/>
      <c r="P33" s="35"/>
      <c r="Q33" s="13"/>
      <c r="R33" s="13"/>
      <c r="S33" s="13"/>
    </row>
    <row r="34">
      <c r="A34" s="149">
        <v>27.0</v>
      </c>
      <c r="B34" s="33" t="s">
        <v>20</v>
      </c>
      <c r="C34" s="150">
        <v>0.34791666666666665</v>
      </c>
      <c r="D34" s="5"/>
      <c r="E34" s="151">
        <v>0.5041666666666667</v>
      </c>
      <c r="F34" s="5"/>
      <c r="G34" s="151">
        <v>0.5451388888888888</v>
      </c>
      <c r="H34" s="5"/>
      <c r="I34" s="151">
        <v>0.7513888888888889</v>
      </c>
      <c r="J34" s="5"/>
      <c r="K34" s="6"/>
      <c r="L34" s="90">
        <f t="shared" si="7"/>
        <v>0.3625</v>
      </c>
      <c r="M34" s="92">
        <f t="shared" si="8"/>
        <v>0.02916666667</v>
      </c>
      <c r="N34" s="91">
        <f t="shared" si="9"/>
        <v>0</v>
      </c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33" t="s">
        <v>21</v>
      </c>
      <c r="C35" s="150">
        <v>0.33125</v>
      </c>
      <c r="D35" s="5"/>
      <c r="E35" s="150"/>
      <c r="F35" s="5"/>
      <c r="G35" s="150"/>
      <c r="H35" s="5"/>
      <c r="I35" s="150">
        <v>0.5013888888888889</v>
      </c>
      <c r="J35" s="5"/>
      <c r="L35" s="90">
        <f t="shared" si="7"/>
        <v>0.1701388889</v>
      </c>
      <c r="M35" s="91">
        <f t="shared" si="8"/>
        <v>0</v>
      </c>
      <c r="N35" s="90">
        <v>0.0</v>
      </c>
      <c r="O35" s="37"/>
      <c r="P35" s="35"/>
      <c r="Q35" s="13"/>
      <c r="R35" s="13"/>
      <c r="S35" s="29"/>
      <c r="T35" s="13"/>
      <c r="U35" s="13"/>
      <c r="V35" s="13"/>
    </row>
    <row r="36">
      <c r="A36" s="103" t="s">
        <v>31</v>
      </c>
      <c r="B36" s="15"/>
      <c r="C36" s="15"/>
      <c r="D36" s="15"/>
      <c r="E36" s="15"/>
      <c r="F36" s="15"/>
      <c r="G36" s="15"/>
      <c r="H36" s="15"/>
      <c r="I36" s="15"/>
      <c r="J36" s="5"/>
      <c r="K36" s="6"/>
      <c r="L36" s="89" t="str">
        <f t="shared" ref="L36:L38" si="10">(#REF!-#REF!)+(#REF!-#REF!)</f>
        <v>#REF!</v>
      </c>
      <c r="M36" s="91" t="str">
        <f t="shared" si="8"/>
        <v>#REF!</v>
      </c>
      <c r="N36" s="90">
        <v>0.0</v>
      </c>
      <c r="O36" s="29"/>
      <c r="P36" s="13"/>
      <c r="Q36" s="13"/>
      <c r="R36" s="13"/>
      <c r="S36" s="13"/>
    </row>
    <row r="37">
      <c r="A37" s="146" t="s">
        <v>86</v>
      </c>
      <c r="B37" s="15"/>
      <c r="C37" s="15"/>
      <c r="D37" s="15"/>
      <c r="E37" s="15"/>
      <c r="F37" s="15"/>
      <c r="G37" s="15"/>
      <c r="H37" s="15"/>
      <c r="I37" s="15"/>
      <c r="J37" s="5"/>
      <c r="K37" s="6"/>
      <c r="L37" s="89" t="str">
        <f t="shared" si="10"/>
        <v>#REF!</v>
      </c>
      <c r="M37" s="90">
        <v>0.0</v>
      </c>
      <c r="N37" s="89">
        <v>0.0</v>
      </c>
      <c r="O37" s="97"/>
      <c r="P37" s="35"/>
      <c r="Q37" s="13"/>
      <c r="R37" s="13"/>
      <c r="S37" s="29"/>
    </row>
    <row r="38">
      <c r="A38" s="107" t="s">
        <v>87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89" t="str">
        <f t="shared" si="10"/>
        <v>#REF!</v>
      </c>
      <c r="M38" s="90">
        <v>0.0</v>
      </c>
      <c r="N38" s="89">
        <v>0.0</v>
      </c>
      <c r="O38" s="97"/>
      <c r="P38" s="93" t="s">
        <v>71</v>
      </c>
      <c r="Q38" s="13"/>
      <c r="R38" s="13"/>
      <c r="S38" s="13"/>
    </row>
    <row r="39">
      <c r="A39" s="132" t="s">
        <v>88</v>
      </c>
      <c r="B39" s="3"/>
      <c r="C39" s="3"/>
      <c r="D39" s="3"/>
      <c r="E39" s="3"/>
      <c r="F39" s="3"/>
      <c r="G39" s="3"/>
      <c r="H39" s="3"/>
      <c r="I39" s="3"/>
      <c r="J39" s="2"/>
      <c r="K39" s="6"/>
      <c r="L39" s="104"/>
      <c r="M39" s="104" t="str">
        <f>SUM(M8:M38)</f>
        <v>#REF!</v>
      </c>
      <c r="N39" s="82"/>
      <c r="O39" s="29"/>
      <c r="P39" s="13"/>
      <c r="Q39" s="13"/>
      <c r="R39" s="13"/>
      <c r="S39" s="13"/>
    </row>
    <row r="40">
      <c r="A40" s="133" t="s">
        <v>35</v>
      </c>
      <c r="B40" s="134"/>
      <c r="C40" s="134"/>
      <c r="D40" s="134"/>
      <c r="E40" s="134"/>
      <c r="F40" s="134"/>
      <c r="G40" s="3"/>
      <c r="H40" s="134"/>
      <c r="I40" s="134"/>
      <c r="J40" s="13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36"/>
      <c r="B41" s="137"/>
      <c r="C41" s="137"/>
      <c r="D41" s="137"/>
      <c r="F41" s="137"/>
      <c r="H41" s="137"/>
      <c r="I41" s="137"/>
      <c r="J41" s="138"/>
      <c r="K41" s="6"/>
      <c r="L41" s="13"/>
      <c r="M41" s="35"/>
      <c r="N41" s="13"/>
      <c r="O41" s="35"/>
      <c r="P41" s="29"/>
      <c r="Q41" s="13"/>
      <c r="R41" s="13"/>
      <c r="S41" s="13"/>
    </row>
    <row r="42">
      <c r="A42" s="139" t="s">
        <v>36</v>
      </c>
      <c r="B42" s="137"/>
      <c r="C42" s="140" t="s">
        <v>37</v>
      </c>
      <c r="D42" s="137"/>
      <c r="F42" s="137"/>
      <c r="H42" s="137"/>
      <c r="I42" s="137"/>
      <c r="J42" s="138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58"/>
      <c r="B43" s="59"/>
      <c r="C43" s="59"/>
      <c r="D43" s="59"/>
      <c r="E43" s="11"/>
      <c r="F43" s="59"/>
      <c r="G43" s="11"/>
      <c r="H43" s="59"/>
      <c r="I43" s="59"/>
      <c r="J43" s="60"/>
      <c r="K43" s="6"/>
      <c r="L43" s="13"/>
      <c r="M43" s="29"/>
      <c r="N43" s="13"/>
      <c r="O43" s="13"/>
      <c r="P43" s="13"/>
      <c r="Q43" s="13"/>
    </row>
    <row r="44">
      <c r="K44" s="6"/>
    </row>
    <row r="45">
      <c r="K45" s="6"/>
    </row>
  </sheetData>
  <mergeCells count="125"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G10:H10"/>
    <mergeCell ref="I10:J10"/>
    <mergeCell ref="C8:D8"/>
    <mergeCell ref="E8:F8"/>
    <mergeCell ref="G8:H8"/>
    <mergeCell ref="I8:J8"/>
    <mergeCell ref="C9:J9"/>
    <mergeCell ref="C10:D10"/>
    <mergeCell ref="E10:F10"/>
    <mergeCell ref="C11:D11"/>
    <mergeCell ref="E11:F11"/>
    <mergeCell ref="G11:H11"/>
    <mergeCell ref="I11:J11"/>
    <mergeCell ref="C12:D12"/>
    <mergeCell ref="E12:F12"/>
    <mergeCell ref="G12:H12"/>
    <mergeCell ref="E15:F15"/>
    <mergeCell ref="G15:H15"/>
    <mergeCell ref="G17:H17"/>
    <mergeCell ref="I17:J17"/>
    <mergeCell ref="C22:D22"/>
    <mergeCell ref="E22:F22"/>
    <mergeCell ref="G22:H22"/>
    <mergeCell ref="I22:J22"/>
    <mergeCell ref="C23:J23"/>
    <mergeCell ref="C24:J24"/>
    <mergeCell ref="I25:J25"/>
    <mergeCell ref="C25:D25"/>
    <mergeCell ref="C26:D26"/>
    <mergeCell ref="E26:F26"/>
    <mergeCell ref="G26:H26"/>
    <mergeCell ref="I26:J26"/>
    <mergeCell ref="C27:D27"/>
    <mergeCell ref="E27:F27"/>
    <mergeCell ref="E29:F29"/>
    <mergeCell ref="G29:H29"/>
    <mergeCell ref="G27:H27"/>
    <mergeCell ref="I27:J27"/>
    <mergeCell ref="C28:D28"/>
    <mergeCell ref="E28:F28"/>
    <mergeCell ref="G28:H28"/>
    <mergeCell ref="I28:J28"/>
    <mergeCell ref="I29:J29"/>
    <mergeCell ref="G31:H31"/>
    <mergeCell ref="I31:J31"/>
    <mergeCell ref="C29:D29"/>
    <mergeCell ref="C30:D30"/>
    <mergeCell ref="E30:F30"/>
    <mergeCell ref="G30:H30"/>
    <mergeCell ref="I30:J30"/>
    <mergeCell ref="C31:D31"/>
    <mergeCell ref="E31:F31"/>
    <mergeCell ref="C32:D32"/>
    <mergeCell ref="E32:F32"/>
    <mergeCell ref="G32:H32"/>
    <mergeCell ref="I32:J32"/>
    <mergeCell ref="E33:F33"/>
    <mergeCell ref="G33:H33"/>
    <mergeCell ref="I33:J33"/>
    <mergeCell ref="C33:D33"/>
    <mergeCell ref="C34:D34"/>
    <mergeCell ref="E34:F34"/>
    <mergeCell ref="G34:H34"/>
    <mergeCell ref="I34:J34"/>
    <mergeCell ref="C35:D35"/>
    <mergeCell ref="E35:F35"/>
    <mergeCell ref="D42:E42"/>
    <mergeCell ref="F42:G42"/>
    <mergeCell ref="D43:E43"/>
    <mergeCell ref="F43:G43"/>
    <mergeCell ref="A36:J36"/>
    <mergeCell ref="A37:J37"/>
    <mergeCell ref="A38:J38"/>
    <mergeCell ref="A39:J39"/>
    <mergeCell ref="F40:G40"/>
    <mergeCell ref="D41:E41"/>
    <mergeCell ref="F41:G41"/>
    <mergeCell ref="I12:J12"/>
    <mergeCell ref="C13:J13"/>
    <mergeCell ref="C14:D14"/>
    <mergeCell ref="E14:F14"/>
    <mergeCell ref="G14:H14"/>
    <mergeCell ref="I14:J14"/>
    <mergeCell ref="I15:J15"/>
    <mergeCell ref="C15:D15"/>
    <mergeCell ref="C16:D16"/>
    <mergeCell ref="E16:F16"/>
    <mergeCell ref="G16:H16"/>
    <mergeCell ref="I16:J16"/>
    <mergeCell ref="C17:D17"/>
    <mergeCell ref="E17:F17"/>
    <mergeCell ref="C18:D18"/>
    <mergeCell ref="E18:F18"/>
    <mergeCell ref="G18:H18"/>
    <mergeCell ref="I18:J18"/>
    <mergeCell ref="E19:F19"/>
    <mergeCell ref="G19:H19"/>
    <mergeCell ref="I19:J19"/>
    <mergeCell ref="G21:H21"/>
    <mergeCell ref="I21:J21"/>
    <mergeCell ref="C19:D19"/>
    <mergeCell ref="C20:D20"/>
    <mergeCell ref="E20:F20"/>
    <mergeCell ref="G20:H20"/>
    <mergeCell ref="I20:J20"/>
    <mergeCell ref="C21:D21"/>
    <mergeCell ref="E21:F21"/>
    <mergeCell ref="E25:F25"/>
    <mergeCell ref="G25:H25"/>
    <mergeCell ref="G35:H35"/>
    <mergeCell ref="I35:J35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9" t="s">
        <v>75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148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12"/>
      <c r="L8" s="89">
        <v>0.0</v>
      </c>
      <c r="M8" s="90">
        <v>0.0</v>
      </c>
      <c r="N8" s="91"/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149">
        <v>2.0</v>
      </c>
      <c r="B9" s="27" t="s">
        <v>24</v>
      </c>
      <c r="C9" s="28">
        <v>0.3486111111111111</v>
      </c>
      <c r="D9" s="5"/>
      <c r="E9" s="28">
        <v>0.5493055555555556</v>
      </c>
      <c r="F9" s="5"/>
      <c r="G9" s="28">
        <v>0.5875</v>
      </c>
      <c r="H9" s="5"/>
      <c r="I9" s="28">
        <v>0.7465277777777778</v>
      </c>
      <c r="J9" s="5"/>
      <c r="K9" s="86"/>
      <c r="L9" s="90">
        <f t="shared" ref="L9:L13" si="1">(E9-C9)+(I9-G9)</f>
        <v>0.3597222222</v>
      </c>
      <c r="M9" s="92">
        <f t="shared" ref="M9:M13" si="2">IF((L9-$M$3)&gt;$M$4,L9-$M$3,0)</f>
        <v>0.02638888889</v>
      </c>
      <c r="N9" s="91">
        <f t="shared" ref="N9:N13" si="3">+IF(($M$3-L9)&gt;$M$4,$M$3-L9,0)</f>
        <v>0</v>
      </c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149">
        <v>3.0</v>
      </c>
      <c r="B10" s="32" t="s">
        <v>58</v>
      </c>
      <c r="C10" s="28">
        <v>0.34930555555555554</v>
      </c>
      <c r="D10" s="5"/>
      <c r="E10" s="28">
        <v>0.5409722222222222</v>
      </c>
      <c r="F10" s="5"/>
      <c r="G10" s="28">
        <v>0.5777777777777777</v>
      </c>
      <c r="H10" s="5"/>
      <c r="I10" s="28">
        <v>0.7465277777777778</v>
      </c>
      <c r="J10" s="5"/>
      <c r="K10" s="12"/>
      <c r="L10" s="90">
        <f t="shared" si="1"/>
        <v>0.3604166667</v>
      </c>
      <c r="M10" s="92">
        <f t="shared" si="2"/>
        <v>0.02708333333</v>
      </c>
      <c r="N10" s="91">
        <f t="shared" si="3"/>
        <v>0</v>
      </c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149">
        <v>4.0</v>
      </c>
      <c r="B11" s="33" t="s">
        <v>18</v>
      </c>
      <c r="C11" s="28">
        <v>0.3541666666666667</v>
      </c>
      <c r="D11" s="5"/>
      <c r="E11" s="28">
        <v>0.5458333333333333</v>
      </c>
      <c r="F11" s="5"/>
      <c r="G11" s="28">
        <v>0.5854166666666667</v>
      </c>
      <c r="H11" s="5"/>
      <c r="I11" s="28">
        <v>0.7486111111111111</v>
      </c>
      <c r="J11" s="5"/>
      <c r="K11" s="12"/>
      <c r="L11" s="90">
        <f t="shared" si="1"/>
        <v>0.3548611111</v>
      </c>
      <c r="M11" s="92">
        <f t="shared" si="2"/>
        <v>0.02152777778</v>
      </c>
      <c r="N11" s="91">
        <f t="shared" si="3"/>
        <v>0</v>
      </c>
      <c r="O11" s="13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149">
        <v>5.0</v>
      </c>
      <c r="B12" s="27" t="s">
        <v>19</v>
      </c>
      <c r="C12" s="150">
        <v>0.34930555555555554</v>
      </c>
      <c r="D12" s="5"/>
      <c r="E12" s="150">
        <v>0.5416666666666666</v>
      </c>
      <c r="F12" s="5"/>
      <c r="G12" s="150">
        <v>0.5833333333333334</v>
      </c>
      <c r="H12" s="5"/>
      <c r="I12" s="150">
        <v>0.7423611111111111</v>
      </c>
      <c r="J12" s="5"/>
      <c r="K12" s="12"/>
      <c r="L12" s="90">
        <f t="shared" si="1"/>
        <v>0.3513888889</v>
      </c>
      <c r="M12" s="92">
        <f t="shared" si="2"/>
        <v>0.01805555556</v>
      </c>
      <c r="N12" s="91">
        <f t="shared" si="3"/>
        <v>0</v>
      </c>
      <c r="O12" s="13"/>
      <c r="R12" s="29"/>
      <c r="S12" s="29"/>
      <c r="T12" s="13"/>
      <c r="U12" s="13"/>
      <c r="V12" s="13"/>
      <c r="W12" s="13"/>
      <c r="X12" s="13"/>
    </row>
    <row r="13">
      <c r="A13" s="149">
        <v>6.0</v>
      </c>
      <c r="B13" s="32" t="s">
        <v>20</v>
      </c>
      <c r="C13" s="152">
        <v>0.42916666666666664</v>
      </c>
      <c r="D13" s="5"/>
      <c r="E13" s="152"/>
      <c r="F13" s="5"/>
      <c r="G13" s="152"/>
      <c r="H13" s="5"/>
      <c r="I13" s="152">
        <v>0.44583333333333336</v>
      </c>
      <c r="J13" s="5"/>
      <c r="K13" s="12"/>
      <c r="L13" s="90">
        <f t="shared" si="1"/>
        <v>0.01666666667</v>
      </c>
      <c r="M13" s="91">
        <f t="shared" si="2"/>
        <v>0</v>
      </c>
      <c r="N13" s="92">
        <f t="shared" si="3"/>
        <v>0.3166666667</v>
      </c>
      <c r="O13" s="31" t="s">
        <v>62</v>
      </c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149">
        <v>7.0</v>
      </c>
      <c r="B14" s="33" t="s">
        <v>21</v>
      </c>
      <c r="C14" s="147" t="s">
        <v>62</v>
      </c>
      <c r="D14" s="15"/>
      <c r="E14" s="15"/>
      <c r="F14" s="15"/>
      <c r="G14" s="15"/>
      <c r="H14" s="15"/>
      <c r="I14" s="15"/>
      <c r="J14" s="5"/>
      <c r="K14" s="12"/>
      <c r="L14" s="90">
        <v>0.0</v>
      </c>
      <c r="M14" s="90">
        <v>0.0</v>
      </c>
      <c r="N14" s="90">
        <v>0.16666666666666666</v>
      </c>
      <c r="O14" s="13"/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149">
        <v>8.0</v>
      </c>
      <c r="B15" s="33" t="s">
        <v>23</v>
      </c>
      <c r="C15" s="151"/>
      <c r="D15" s="5"/>
      <c r="E15" s="151"/>
      <c r="F15" s="5"/>
      <c r="G15" s="151"/>
      <c r="H15" s="5"/>
      <c r="I15" s="151"/>
      <c r="J15" s="5"/>
      <c r="K15" s="12"/>
      <c r="L15" s="90">
        <f t="shared" ref="L15:L22" si="4">(E15-C15)+(I15-G15)</f>
        <v>0</v>
      </c>
      <c r="M15" s="91">
        <f t="shared" ref="M15:M20" si="5">IF((L15-$M$3)&gt;$M$4,L15-$M$3,0)</f>
        <v>0</v>
      </c>
      <c r="N15" s="89">
        <v>0.0</v>
      </c>
      <c r="O15" s="13"/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149">
        <v>9.0</v>
      </c>
      <c r="B16" s="27" t="s">
        <v>24</v>
      </c>
      <c r="C16" s="151">
        <v>0.34930555555555554</v>
      </c>
      <c r="D16" s="5"/>
      <c r="E16" s="151">
        <v>0.5409722222222222</v>
      </c>
      <c r="F16" s="5"/>
      <c r="G16" s="151">
        <v>0.5833333333333334</v>
      </c>
      <c r="H16" s="5"/>
      <c r="I16" s="151">
        <v>0.7444444444444445</v>
      </c>
      <c r="J16" s="5"/>
      <c r="K16" s="12"/>
      <c r="L16" s="90">
        <f t="shared" si="4"/>
        <v>0.3527777778</v>
      </c>
      <c r="M16" s="92">
        <f t="shared" si="5"/>
        <v>0.01944444444</v>
      </c>
      <c r="N16" s="91">
        <f t="shared" ref="N16:N20" si="6">+IF(($M$3-L16)&gt;$M$4,$M$3-L16,0)</f>
        <v>0</v>
      </c>
      <c r="O16" s="13"/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149">
        <v>10.0</v>
      </c>
      <c r="B17" s="32" t="s">
        <v>58</v>
      </c>
      <c r="C17" s="150">
        <v>0.3506944444444444</v>
      </c>
      <c r="D17" s="5"/>
      <c r="E17" s="150">
        <v>0.5409722222222222</v>
      </c>
      <c r="F17" s="5"/>
      <c r="G17" s="150">
        <v>0.58125</v>
      </c>
      <c r="H17" s="5"/>
      <c r="I17" s="150">
        <v>0.7458333333333333</v>
      </c>
      <c r="J17" s="5"/>
      <c r="K17" s="46"/>
      <c r="L17" s="83">
        <f t="shared" si="4"/>
        <v>0.3548611111</v>
      </c>
      <c r="M17" s="83">
        <f t="shared" si="5"/>
        <v>0.02152777778</v>
      </c>
      <c r="N17" s="144">
        <f t="shared" si="6"/>
        <v>0</v>
      </c>
      <c r="O17" s="29"/>
      <c r="R17" s="35">
        <v>0.05138888888888889</v>
      </c>
      <c r="S17" s="29"/>
      <c r="T17" s="13"/>
      <c r="U17" s="13"/>
      <c r="V17" s="13"/>
      <c r="W17" s="13"/>
      <c r="X17" s="13"/>
    </row>
    <row r="18">
      <c r="A18" s="149">
        <v>11.0</v>
      </c>
      <c r="B18" s="33" t="s">
        <v>18</v>
      </c>
      <c r="C18" s="150">
        <v>0.34930555555555554</v>
      </c>
      <c r="D18" s="5"/>
      <c r="E18" s="153"/>
      <c r="F18" s="5"/>
      <c r="G18" s="150">
        <v>0.58125</v>
      </c>
      <c r="H18" s="5"/>
      <c r="I18" s="150">
        <v>0.7423611111111111</v>
      </c>
      <c r="J18" s="5"/>
      <c r="K18" s="12"/>
      <c r="L18" s="83">
        <f t="shared" si="4"/>
        <v>-0.1881944444</v>
      </c>
      <c r="M18" s="83">
        <f t="shared" si="5"/>
        <v>0</v>
      </c>
      <c r="N18" s="83">
        <f t="shared" si="6"/>
        <v>0.5215277778</v>
      </c>
      <c r="O18" s="93" t="s">
        <v>71</v>
      </c>
      <c r="R18" s="29">
        <v>0.0</v>
      </c>
      <c r="S18" s="29"/>
      <c r="T18" s="29"/>
      <c r="U18" s="37"/>
      <c r="V18" s="35"/>
      <c r="W18" s="13"/>
      <c r="X18" s="13"/>
    </row>
    <row r="19">
      <c r="A19" s="149">
        <v>12.0</v>
      </c>
      <c r="B19" s="27" t="s">
        <v>19</v>
      </c>
      <c r="C19" s="150">
        <v>0.35138888888888886</v>
      </c>
      <c r="D19" s="5"/>
      <c r="E19" s="150">
        <v>0.5423611111111111</v>
      </c>
      <c r="F19" s="5"/>
      <c r="G19" s="150">
        <v>0.5875</v>
      </c>
      <c r="H19" s="5"/>
      <c r="I19" s="150">
        <v>0.7472222222222222</v>
      </c>
      <c r="J19" s="5"/>
      <c r="K19" s="12"/>
      <c r="L19" s="90">
        <f t="shared" si="4"/>
        <v>0.3506944444</v>
      </c>
      <c r="M19" s="92">
        <f t="shared" si="5"/>
        <v>0.01736111111</v>
      </c>
      <c r="N19" s="91">
        <f t="shared" si="6"/>
        <v>0</v>
      </c>
      <c r="O19" s="13"/>
      <c r="R19" s="29"/>
      <c r="S19" s="29"/>
      <c r="T19" s="29"/>
      <c r="U19" s="37"/>
      <c r="V19" s="35"/>
      <c r="W19" s="13"/>
      <c r="X19" s="13"/>
    </row>
    <row r="20">
      <c r="A20" s="149">
        <v>13.0</v>
      </c>
      <c r="B20" s="32" t="s">
        <v>20</v>
      </c>
      <c r="C20" s="150">
        <v>0.34930555555555554</v>
      </c>
      <c r="D20" s="5"/>
      <c r="E20" s="150">
        <v>0.5493055555555556</v>
      </c>
      <c r="F20" s="5"/>
      <c r="G20" s="150">
        <v>0.5881944444444445</v>
      </c>
      <c r="H20" s="5"/>
      <c r="I20" s="150">
        <v>0.7472222222222222</v>
      </c>
      <c r="J20" s="5"/>
      <c r="K20" s="12"/>
      <c r="L20" s="90">
        <f t="shared" si="4"/>
        <v>0.3590277778</v>
      </c>
      <c r="M20" s="92">
        <f t="shared" si="5"/>
        <v>0.02569444444</v>
      </c>
      <c r="N20" s="91">
        <f t="shared" si="6"/>
        <v>0</v>
      </c>
      <c r="O20" s="29"/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149">
        <v>14.0</v>
      </c>
      <c r="B21" s="33" t="s">
        <v>21</v>
      </c>
      <c r="C21" s="150">
        <v>0.32708333333333334</v>
      </c>
      <c r="D21" s="5"/>
      <c r="E21" s="151"/>
      <c r="F21" s="5"/>
      <c r="G21" s="151"/>
      <c r="H21" s="5"/>
      <c r="I21" s="150">
        <v>0.5069444444444444</v>
      </c>
      <c r="J21" s="5"/>
      <c r="K21" s="46"/>
      <c r="L21" s="90">
        <f t="shared" si="4"/>
        <v>0.1798611111</v>
      </c>
      <c r="M21" s="90">
        <v>0.013194444444444444</v>
      </c>
      <c r="N21" s="89">
        <v>0.0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149">
        <v>15.0</v>
      </c>
      <c r="B22" s="33" t="s">
        <v>23</v>
      </c>
      <c r="C22" s="150"/>
      <c r="D22" s="5"/>
      <c r="E22" s="150"/>
      <c r="F22" s="5"/>
      <c r="G22" s="150"/>
      <c r="H22" s="5"/>
      <c r="I22" s="150"/>
      <c r="J22" s="5"/>
      <c r="K22" s="12"/>
      <c r="L22" s="90">
        <f t="shared" si="4"/>
        <v>0</v>
      </c>
      <c r="M22" s="91">
        <f>IF((L22-$M$3)&gt;$M$4,L22-$M$3,0)</f>
        <v>0</v>
      </c>
      <c r="N22" s="89">
        <v>0.0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149">
        <v>16.0</v>
      </c>
      <c r="B23" s="32" t="s">
        <v>24</v>
      </c>
      <c r="C23" s="147" t="s">
        <v>78</v>
      </c>
      <c r="D23" s="15"/>
      <c r="E23" s="15"/>
      <c r="F23" s="15"/>
      <c r="G23" s="15"/>
      <c r="H23" s="15"/>
      <c r="I23" s="15"/>
      <c r="J23" s="5"/>
      <c r="K23" s="12"/>
      <c r="L23" s="90">
        <v>0.0</v>
      </c>
      <c r="M23" s="90">
        <v>0.0</v>
      </c>
      <c r="N23" s="89">
        <v>0.0</v>
      </c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149">
        <v>17.0</v>
      </c>
      <c r="B24" s="33" t="s">
        <v>58</v>
      </c>
      <c r="C24" s="147" t="s">
        <v>79</v>
      </c>
      <c r="D24" s="15"/>
      <c r="E24" s="15"/>
      <c r="F24" s="15"/>
      <c r="G24" s="15"/>
      <c r="H24" s="15"/>
      <c r="I24" s="15"/>
      <c r="J24" s="5"/>
      <c r="K24" s="12"/>
      <c r="L24" s="90">
        <v>0.0</v>
      </c>
      <c r="M24" s="90">
        <v>0.0</v>
      </c>
      <c r="N24" s="90">
        <v>0.3333333333333333</v>
      </c>
      <c r="R24" s="29">
        <v>0.0</v>
      </c>
      <c r="S24" s="29"/>
      <c r="T24" s="29"/>
      <c r="U24" s="13"/>
      <c r="V24" s="35"/>
      <c r="W24" s="35"/>
      <c r="X24" s="29"/>
    </row>
    <row r="25">
      <c r="A25" s="149">
        <v>18.0</v>
      </c>
      <c r="B25" s="33" t="s">
        <v>18</v>
      </c>
      <c r="C25" s="152">
        <v>0.35208333333333336</v>
      </c>
      <c r="D25" s="5"/>
      <c r="E25" s="152">
        <v>0.5416666666666666</v>
      </c>
      <c r="F25" s="5"/>
      <c r="G25" s="152">
        <v>0.58125</v>
      </c>
      <c r="H25" s="5"/>
      <c r="I25" s="152">
        <v>0.7465277777777778</v>
      </c>
      <c r="J25" s="5"/>
      <c r="K25" s="38"/>
      <c r="L25" s="83">
        <f t="shared" ref="L25:L26" si="7">(E25-C25)+(I25-G25)</f>
        <v>0.3548611111</v>
      </c>
      <c r="M25" s="83">
        <f t="shared" ref="M25:M27" si="8">IF((L25-$M$3)&gt;$M$4,L25-$M$3,0)</f>
        <v>0.02152777778</v>
      </c>
      <c r="N25" s="144">
        <f t="shared" ref="N25:N27" si="9">+IF(($M$3-L25)&gt;$M$4,$M$3-L25,0)</f>
        <v>0</v>
      </c>
      <c r="R25" s="29" t="s">
        <v>46</v>
      </c>
      <c r="S25" s="29"/>
      <c r="T25" s="29"/>
      <c r="U25" s="37"/>
      <c r="V25" s="35"/>
      <c r="W25" s="35"/>
      <c r="X25" s="13"/>
    </row>
    <row r="26">
      <c r="A26" s="149">
        <v>19.0</v>
      </c>
      <c r="B26" s="32" t="s">
        <v>19</v>
      </c>
      <c r="C26" s="150">
        <v>0.34930555555555554</v>
      </c>
      <c r="D26" s="5"/>
      <c r="E26" s="150">
        <v>0.5430555555555555</v>
      </c>
      <c r="F26" s="5"/>
      <c r="G26" s="150">
        <v>0.5770833333333333</v>
      </c>
      <c r="H26" s="5"/>
      <c r="I26" s="150">
        <v>0.7472222222222222</v>
      </c>
      <c r="J26" s="5"/>
      <c r="K26" s="40"/>
      <c r="L26" s="83">
        <f t="shared" si="7"/>
        <v>0.3638888889</v>
      </c>
      <c r="M26" s="83">
        <f t="shared" si="8"/>
        <v>0.03055555556</v>
      </c>
      <c r="N26" s="144">
        <f t="shared" si="9"/>
        <v>0</v>
      </c>
      <c r="R26" s="29"/>
      <c r="S26" s="29"/>
      <c r="T26" s="29"/>
      <c r="U26" s="37"/>
      <c r="V26" s="35"/>
      <c r="W26" s="13"/>
      <c r="X26" s="13"/>
    </row>
    <row r="27">
      <c r="A27" s="149">
        <v>20.0</v>
      </c>
      <c r="B27" s="33" t="s">
        <v>20</v>
      </c>
      <c r="C27" s="150">
        <v>0.35</v>
      </c>
      <c r="D27" s="5"/>
      <c r="E27" s="150">
        <v>0.5388888888888889</v>
      </c>
      <c r="F27" s="5"/>
      <c r="G27" s="150">
        <v>0.5833333333333334</v>
      </c>
      <c r="H27" s="5"/>
      <c r="I27" s="150">
        <v>0.7472222222222222</v>
      </c>
      <c r="J27" s="5"/>
      <c r="K27" s="12"/>
      <c r="L27" s="87">
        <v>0.35833333333333334</v>
      </c>
      <c r="M27" s="83">
        <f t="shared" si="8"/>
        <v>0.025</v>
      </c>
      <c r="N27" s="144">
        <f t="shared" si="9"/>
        <v>0</v>
      </c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149">
        <v>21.0</v>
      </c>
      <c r="B28" s="33" t="s">
        <v>21</v>
      </c>
      <c r="C28" s="147" t="s">
        <v>68</v>
      </c>
      <c r="D28" s="15"/>
      <c r="E28" s="15"/>
      <c r="F28" s="15"/>
      <c r="G28" s="15"/>
      <c r="H28" s="15"/>
      <c r="I28" s="15"/>
      <c r="J28" s="5"/>
      <c r="K28" s="12"/>
      <c r="L28" s="84">
        <v>0.0</v>
      </c>
      <c r="M28" s="84">
        <v>0.0</v>
      </c>
      <c r="N28" s="84" t="s">
        <v>89</v>
      </c>
      <c r="P28" s="98"/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149">
        <v>22.0</v>
      </c>
      <c r="B29" s="33" t="s">
        <v>23</v>
      </c>
      <c r="C29" s="150"/>
      <c r="D29" s="5"/>
      <c r="E29" s="150"/>
      <c r="F29" s="5"/>
      <c r="G29" s="150"/>
      <c r="H29" s="5"/>
      <c r="I29" s="150"/>
      <c r="J29" s="5"/>
      <c r="K29" s="12"/>
      <c r="L29" s="83">
        <f t="shared" ref="L29:L35" si="10">(E29-C29)+(I29-G29)</f>
        <v>0</v>
      </c>
      <c r="M29" s="83">
        <f>IF((L29-$M$3)&gt;$M$4,L29-$M$3,0)</f>
        <v>0</v>
      </c>
      <c r="N29" s="83">
        <f>+IF(($M$3-L29)&gt;$M$4,$M$3-L29,0)</f>
        <v>0.3333333333</v>
      </c>
      <c r="R29" s="29"/>
      <c r="S29" s="29"/>
      <c r="T29" s="13"/>
      <c r="U29" s="13"/>
      <c r="V29" s="13"/>
      <c r="W29" s="13"/>
      <c r="X29" s="13"/>
    </row>
    <row r="30">
      <c r="A30" s="149">
        <v>23.0</v>
      </c>
      <c r="B30" s="32" t="s">
        <v>24</v>
      </c>
      <c r="C30" s="154" t="s">
        <v>90</v>
      </c>
      <c r="D30" s="15"/>
      <c r="E30" s="15"/>
      <c r="F30" s="15"/>
      <c r="G30" s="15"/>
      <c r="H30" s="15"/>
      <c r="I30" s="15"/>
      <c r="J30" s="5"/>
      <c r="K30" s="12"/>
      <c r="L30" s="83" t="str">
        <f t="shared" si="10"/>
        <v>#VALUE!</v>
      </c>
      <c r="M30" s="84">
        <v>0.0</v>
      </c>
      <c r="N30" s="84">
        <v>0.0</v>
      </c>
      <c r="R30" s="29"/>
      <c r="S30" s="29"/>
      <c r="T30" s="29"/>
      <c r="U30" s="37"/>
      <c r="V30" s="29">
        <v>5.3</v>
      </c>
      <c r="W30" s="13"/>
      <c r="X30" s="13"/>
    </row>
    <row r="31">
      <c r="A31" s="149">
        <v>24.0</v>
      </c>
      <c r="B31" s="33" t="s">
        <v>58</v>
      </c>
      <c r="C31" s="154" t="s">
        <v>90</v>
      </c>
      <c r="D31" s="15"/>
      <c r="E31" s="15"/>
      <c r="F31" s="15"/>
      <c r="G31" s="15"/>
      <c r="H31" s="15"/>
      <c r="I31" s="15"/>
      <c r="J31" s="5"/>
      <c r="K31" s="12"/>
      <c r="L31" s="83" t="str">
        <f t="shared" si="10"/>
        <v>#VALUE!</v>
      </c>
      <c r="M31" s="84">
        <v>0.0</v>
      </c>
      <c r="N31" s="84">
        <v>0.0</v>
      </c>
      <c r="P31" s="35"/>
      <c r="Q31" s="13"/>
      <c r="R31" s="13"/>
    </row>
    <row r="32">
      <c r="A32" s="149">
        <v>25.0</v>
      </c>
      <c r="B32" s="33" t="s">
        <v>18</v>
      </c>
      <c r="C32" s="154" t="s">
        <v>90</v>
      </c>
      <c r="D32" s="15"/>
      <c r="E32" s="15"/>
      <c r="F32" s="15"/>
      <c r="G32" s="15"/>
      <c r="H32" s="15"/>
      <c r="I32" s="15"/>
      <c r="J32" s="5"/>
      <c r="K32" s="12"/>
      <c r="L32" s="83" t="str">
        <f t="shared" si="10"/>
        <v>#VALUE!</v>
      </c>
      <c r="M32" s="84">
        <v>0.0</v>
      </c>
      <c r="N32" s="84">
        <v>0.0</v>
      </c>
      <c r="P32" s="35"/>
      <c r="Q32" s="29"/>
      <c r="R32" s="29"/>
    </row>
    <row r="33">
      <c r="A33" s="149">
        <v>26.0</v>
      </c>
      <c r="B33" s="33" t="s">
        <v>19</v>
      </c>
      <c r="C33" s="154" t="s">
        <v>90</v>
      </c>
      <c r="D33" s="15"/>
      <c r="E33" s="15"/>
      <c r="F33" s="15"/>
      <c r="G33" s="15"/>
      <c r="H33" s="15"/>
      <c r="I33" s="15"/>
      <c r="J33" s="5"/>
      <c r="K33" s="46"/>
      <c r="L33" s="83" t="str">
        <f t="shared" si="10"/>
        <v>#VALUE!</v>
      </c>
      <c r="M33" s="84">
        <v>0.0</v>
      </c>
      <c r="N33" s="84">
        <v>0.0</v>
      </c>
      <c r="O33" s="31"/>
      <c r="P33" s="35"/>
      <c r="Q33" s="13"/>
      <c r="R33" s="13"/>
    </row>
    <row r="34">
      <c r="A34" s="149">
        <v>27.0</v>
      </c>
      <c r="B34" s="33" t="s">
        <v>20</v>
      </c>
      <c r="C34" s="154" t="s">
        <v>90</v>
      </c>
      <c r="D34" s="15"/>
      <c r="E34" s="15"/>
      <c r="F34" s="15"/>
      <c r="G34" s="15"/>
      <c r="H34" s="15"/>
      <c r="I34" s="15"/>
      <c r="J34" s="5"/>
      <c r="K34" s="46"/>
      <c r="L34" s="83" t="str">
        <f t="shared" si="10"/>
        <v>#VALUE!</v>
      </c>
      <c r="M34" s="84">
        <v>0.0</v>
      </c>
      <c r="N34" s="84">
        <v>0.0</v>
      </c>
      <c r="P34" s="13"/>
      <c r="Q34" s="13"/>
      <c r="R34" s="13"/>
    </row>
    <row r="35">
      <c r="A35" s="149">
        <v>28.0</v>
      </c>
      <c r="B35" s="33" t="s">
        <v>21</v>
      </c>
      <c r="C35" s="154" t="s">
        <v>90</v>
      </c>
      <c r="D35" s="15"/>
      <c r="E35" s="15"/>
      <c r="F35" s="15"/>
      <c r="G35" s="15"/>
      <c r="H35" s="15"/>
      <c r="I35" s="15"/>
      <c r="J35" s="5"/>
      <c r="K35" s="46"/>
      <c r="L35" s="83" t="str">
        <f t="shared" si="10"/>
        <v>#VALUE!</v>
      </c>
      <c r="M35" s="84">
        <v>0.0</v>
      </c>
      <c r="N35" s="84">
        <v>0.0</v>
      </c>
      <c r="P35" s="35"/>
      <c r="Q35" s="13"/>
      <c r="R35" s="43"/>
      <c r="S35" s="101"/>
    </row>
    <row r="36">
      <c r="A36" s="103" t="s">
        <v>31</v>
      </c>
      <c r="B36" s="15"/>
      <c r="C36" s="15"/>
      <c r="D36" s="15"/>
      <c r="E36" s="15"/>
      <c r="F36" s="15"/>
      <c r="G36" s="15"/>
      <c r="H36" s="15"/>
      <c r="I36" s="15"/>
      <c r="J36" s="5"/>
      <c r="K36" s="12"/>
      <c r="L36" s="83" t="str">
        <f t="shared" ref="L36:L37" si="11">(#REF!-#REF!)+(#REF!-#REF!)</f>
        <v>#REF!</v>
      </c>
      <c r="M36" s="83" t="str">
        <f t="shared" ref="M36:M37" si="12">IF((L36-$M$3)&gt;$M$4,L36-$M$3,0)</f>
        <v>#REF!</v>
      </c>
      <c r="N36" s="84">
        <v>0.0</v>
      </c>
      <c r="O36" s="29"/>
      <c r="Q36" s="13"/>
      <c r="R36" s="29"/>
      <c r="S36" s="37"/>
    </row>
    <row r="37">
      <c r="A37" s="107" t="s">
        <v>91</v>
      </c>
      <c r="B37" s="108"/>
      <c r="C37" s="108"/>
      <c r="D37" s="108"/>
      <c r="E37" s="15"/>
      <c r="F37" s="108"/>
      <c r="G37" s="15"/>
      <c r="H37" s="108"/>
      <c r="I37" s="108"/>
      <c r="J37" s="109"/>
      <c r="K37" s="12"/>
      <c r="L37" s="83" t="str">
        <f t="shared" si="11"/>
        <v>#REF!</v>
      </c>
      <c r="M37" s="83" t="str">
        <f t="shared" si="12"/>
        <v>#REF!</v>
      </c>
      <c r="N37" s="84">
        <v>0.0</v>
      </c>
      <c r="P37" s="35"/>
      <c r="Q37" s="37"/>
      <c r="R37" s="35"/>
      <c r="S37" s="41"/>
    </row>
    <row r="38">
      <c r="A38" s="107" t="s">
        <v>92</v>
      </c>
      <c r="B38" s="108"/>
      <c r="C38" s="108"/>
      <c r="D38" s="108"/>
      <c r="E38" s="108"/>
      <c r="F38" s="108"/>
      <c r="G38" s="15"/>
      <c r="H38" s="108"/>
      <c r="I38" s="108"/>
      <c r="J38" s="109"/>
      <c r="K38" s="6"/>
      <c r="L38" s="104"/>
      <c r="M38" s="104" t="str">
        <f>SUM(M8:M37)</f>
        <v>#REF!</v>
      </c>
      <c r="N38" s="82"/>
      <c r="P38" s="13"/>
      <c r="Q38" s="13"/>
      <c r="R38" s="13"/>
    </row>
    <row r="39">
      <c r="A39" s="107" t="s">
        <v>93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29"/>
      <c r="M39" s="13"/>
      <c r="N39" s="29"/>
      <c r="O39" s="13"/>
      <c r="P39" s="13"/>
      <c r="Q39" s="13">
        <f>24-8</f>
        <v>16</v>
      </c>
      <c r="R39" s="13"/>
    </row>
    <row r="40">
      <c r="A40" s="110" t="s">
        <v>35</v>
      </c>
      <c r="B40" s="111"/>
      <c r="C40" s="111"/>
      <c r="D40" s="111"/>
      <c r="E40" s="111"/>
      <c r="F40" s="112"/>
      <c r="H40" s="112"/>
      <c r="I40" s="112"/>
      <c r="J40" s="113"/>
      <c r="K40" s="12"/>
      <c r="L40" s="13"/>
      <c r="M40" s="13"/>
      <c r="N40" s="35"/>
      <c r="O40" s="13"/>
      <c r="P40" s="29"/>
      <c r="Q40" s="13"/>
    </row>
    <row r="41">
      <c r="A41" s="114" t="s">
        <v>36</v>
      </c>
      <c r="B41" s="115"/>
      <c r="C41" s="116" t="s">
        <v>37</v>
      </c>
      <c r="D41" s="115"/>
      <c r="F41" s="115"/>
      <c r="H41" s="115"/>
      <c r="I41" s="115"/>
      <c r="J41" s="117"/>
      <c r="K41" s="6"/>
      <c r="L41" s="13"/>
      <c r="M41" s="13"/>
      <c r="N41" s="13"/>
      <c r="O41" s="29"/>
      <c r="P41" s="35"/>
      <c r="Q41" s="29"/>
    </row>
    <row r="42">
      <c r="A42" s="118"/>
      <c r="B42" s="119"/>
      <c r="C42" s="119"/>
      <c r="D42" s="119"/>
      <c r="E42" s="11"/>
      <c r="F42" s="119"/>
      <c r="G42" s="11"/>
      <c r="H42" s="119"/>
      <c r="I42" s="119"/>
      <c r="J42" s="120"/>
      <c r="L42" s="13"/>
      <c r="M42" s="13"/>
      <c r="N42" s="29"/>
      <c r="O42" s="13"/>
      <c r="P42" s="13"/>
      <c r="Q42" s="13"/>
    </row>
    <row r="43">
      <c r="L43" s="13"/>
      <c r="M43" s="13"/>
      <c r="N43" s="35"/>
      <c r="O43" s="35"/>
      <c r="P43" s="13"/>
      <c r="Q43" s="13"/>
    </row>
    <row r="44">
      <c r="C44" s="41"/>
      <c r="L44" s="13"/>
      <c r="M44" s="13"/>
      <c r="N44" s="13"/>
      <c r="O44" s="13"/>
      <c r="P44" s="13"/>
      <c r="Q44" s="13"/>
    </row>
    <row r="45"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L47" s="35"/>
      <c r="M47" s="13"/>
      <c r="N47" s="13"/>
      <c r="O47" s="13"/>
      <c r="P47" s="13"/>
      <c r="Q47" s="13"/>
    </row>
    <row r="48">
      <c r="L48" s="41"/>
      <c r="P48" s="13"/>
      <c r="Q48" s="13"/>
    </row>
  </sheetData>
  <mergeCells count="106">
    <mergeCell ref="C12:D12"/>
    <mergeCell ref="E12:F12"/>
    <mergeCell ref="G12:H12"/>
    <mergeCell ref="I12:J12"/>
    <mergeCell ref="C13:D13"/>
    <mergeCell ref="E13:F13"/>
    <mergeCell ref="G13:H13"/>
    <mergeCell ref="I13:J13"/>
    <mergeCell ref="C14:J14"/>
    <mergeCell ref="C15:D15"/>
    <mergeCell ref="E15:F15"/>
    <mergeCell ref="G15:H15"/>
    <mergeCell ref="I15:J15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E16:F16"/>
    <mergeCell ref="G16:H16"/>
    <mergeCell ref="G22:H22"/>
    <mergeCell ref="I22:J22"/>
    <mergeCell ref="D41:E41"/>
    <mergeCell ref="D42:E42"/>
    <mergeCell ref="F42:G42"/>
    <mergeCell ref="A36:J36"/>
    <mergeCell ref="D37:E37"/>
    <mergeCell ref="F37:G37"/>
    <mergeCell ref="F38:G38"/>
    <mergeCell ref="A39:J39"/>
    <mergeCell ref="F40:G40"/>
    <mergeCell ref="F41:G41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E26:F26"/>
    <mergeCell ref="G26:H26"/>
    <mergeCell ref="C23:J23"/>
    <mergeCell ref="C24:J24"/>
    <mergeCell ref="C25:D25"/>
    <mergeCell ref="E25:F25"/>
    <mergeCell ref="G25:H25"/>
    <mergeCell ref="I25:J25"/>
    <mergeCell ref="I26:J26"/>
    <mergeCell ref="E29:F29"/>
    <mergeCell ref="G29:H29"/>
    <mergeCell ref="C26:D26"/>
    <mergeCell ref="C27:D27"/>
    <mergeCell ref="E27:F27"/>
    <mergeCell ref="G27:H27"/>
    <mergeCell ref="I27:J27"/>
    <mergeCell ref="C28:J28"/>
    <mergeCell ref="C29:D29"/>
    <mergeCell ref="I29:J29"/>
    <mergeCell ref="C30:J30"/>
    <mergeCell ref="C31:J31"/>
    <mergeCell ref="C32:J32"/>
    <mergeCell ref="C33:J33"/>
    <mergeCell ref="C34:J34"/>
    <mergeCell ref="C35:J35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9" t="s">
        <v>75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48">
        <v>1.0</v>
      </c>
      <c r="B8" s="27" t="s">
        <v>23</v>
      </c>
      <c r="C8" s="28"/>
      <c r="D8" s="5"/>
      <c r="E8" s="28"/>
      <c r="F8" s="5"/>
      <c r="G8" s="28"/>
      <c r="H8" s="5"/>
      <c r="I8" s="28"/>
      <c r="J8" s="5"/>
      <c r="K8" s="6"/>
      <c r="L8" s="90">
        <f t="shared" ref="L8:L22" si="1">(E8-C8)+(I8-G8)</f>
        <v>0</v>
      </c>
      <c r="M8" s="90">
        <v>0.0</v>
      </c>
      <c r="N8" s="90">
        <v>0.0</v>
      </c>
      <c r="S8" s="13"/>
      <c r="T8" s="29"/>
      <c r="U8" s="29"/>
      <c r="V8" s="13"/>
      <c r="W8" s="13"/>
      <c r="X8" s="13"/>
      <c r="Y8" s="13"/>
      <c r="Z8" s="13"/>
      <c r="AA8" s="13"/>
    </row>
    <row r="9">
      <c r="A9" s="149">
        <v>2.0</v>
      </c>
      <c r="B9" s="27" t="s">
        <v>24</v>
      </c>
      <c r="C9" s="28">
        <v>0.36736111111111114</v>
      </c>
      <c r="D9" s="5"/>
      <c r="E9" s="28">
        <v>0.5041666666666667</v>
      </c>
      <c r="F9" s="5"/>
      <c r="G9" s="28">
        <v>0.5555555555555556</v>
      </c>
      <c r="H9" s="5"/>
      <c r="I9" s="28">
        <v>0.7465277777777778</v>
      </c>
      <c r="J9" s="5"/>
      <c r="K9" s="6"/>
      <c r="L9" s="90">
        <f t="shared" si="1"/>
        <v>0.3277777778</v>
      </c>
      <c r="M9" s="91">
        <f t="shared" ref="M9:M16" si="2">IF((L9-$M$3)&gt;$M$4,L9-$M$3,0)</f>
        <v>0</v>
      </c>
      <c r="N9" s="91">
        <f t="shared" ref="N9:N10" si="3">+IF(($M$3-L9)&gt;$M$4,$M$3-L9,0)</f>
        <v>0</v>
      </c>
      <c r="S9" s="13"/>
      <c r="T9" s="29"/>
      <c r="U9" s="29"/>
      <c r="V9" s="13"/>
      <c r="W9" s="13"/>
      <c r="X9" s="13"/>
      <c r="Y9" s="13"/>
      <c r="Z9" s="13"/>
      <c r="AA9" s="29"/>
    </row>
    <row r="10">
      <c r="A10" s="149">
        <v>3.0</v>
      </c>
      <c r="B10" s="32" t="s">
        <v>58</v>
      </c>
      <c r="C10" s="28">
        <v>0.3576388888888889</v>
      </c>
      <c r="D10" s="5"/>
      <c r="E10" s="28">
        <v>0.5069444444444444</v>
      </c>
      <c r="F10" s="5"/>
      <c r="G10" s="28">
        <v>0.54375</v>
      </c>
      <c r="H10" s="5"/>
      <c r="I10" s="28">
        <v>0.7465277777777778</v>
      </c>
      <c r="J10" s="5"/>
      <c r="K10" s="6"/>
      <c r="L10" s="90">
        <f t="shared" si="1"/>
        <v>0.3520833333</v>
      </c>
      <c r="M10" s="92">
        <f t="shared" si="2"/>
        <v>0.01875</v>
      </c>
      <c r="N10" s="91">
        <f t="shared" si="3"/>
        <v>0</v>
      </c>
      <c r="S10" s="13"/>
      <c r="T10" s="29"/>
      <c r="U10" s="29"/>
      <c r="V10" s="13"/>
      <c r="W10" s="13"/>
      <c r="X10" s="13"/>
      <c r="Y10" s="13"/>
      <c r="Z10" s="13"/>
      <c r="AA10" s="13"/>
    </row>
    <row r="11">
      <c r="A11" s="149">
        <v>4.0</v>
      </c>
      <c r="B11" s="33" t="s">
        <v>18</v>
      </c>
      <c r="C11" s="28">
        <v>0.3625</v>
      </c>
      <c r="D11" s="5"/>
      <c r="E11" s="28">
        <v>0.5444444444444444</v>
      </c>
      <c r="F11" s="5"/>
      <c r="G11" s="28"/>
      <c r="H11" s="5"/>
      <c r="I11" s="28"/>
      <c r="J11" s="5"/>
      <c r="K11" s="6"/>
      <c r="L11" s="90">
        <f t="shared" si="1"/>
        <v>0.1819444444</v>
      </c>
      <c r="M11" s="91">
        <f t="shared" si="2"/>
        <v>0</v>
      </c>
      <c r="N11" s="90">
        <v>0.008333333333333333</v>
      </c>
      <c r="O11" s="98" t="s">
        <v>63</v>
      </c>
      <c r="P11" s="29" t="s">
        <v>94</v>
      </c>
      <c r="S11" s="13"/>
      <c r="T11" s="29"/>
      <c r="U11" s="29"/>
      <c r="V11" s="13"/>
      <c r="W11" s="13"/>
      <c r="X11" s="13"/>
      <c r="Y11" s="13"/>
      <c r="Z11" s="13"/>
      <c r="AA11" s="13"/>
    </row>
    <row r="12">
      <c r="A12" s="149">
        <v>5.0</v>
      </c>
      <c r="B12" s="27" t="s">
        <v>19</v>
      </c>
      <c r="C12" s="150">
        <v>0.3527777777777778</v>
      </c>
      <c r="D12" s="5"/>
      <c r="E12" s="153"/>
      <c r="F12" s="5"/>
      <c r="G12" s="150">
        <v>0.55</v>
      </c>
      <c r="H12" s="5"/>
      <c r="I12" s="150">
        <v>0.7291666666666666</v>
      </c>
      <c r="J12" s="5"/>
      <c r="K12" s="6"/>
      <c r="L12" s="90">
        <f t="shared" si="1"/>
        <v>-0.1736111111</v>
      </c>
      <c r="M12" s="91">
        <f t="shared" si="2"/>
        <v>0</v>
      </c>
      <c r="N12" s="92">
        <f t="shared" ref="N12:N13" si="4">+IF(($M$3-L12)&gt;$M$4,$M$3-L12,0)</f>
        <v>0.5069444444</v>
      </c>
      <c r="S12" s="13"/>
      <c r="T12" s="29"/>
      <c r="U12" s="29"/>
      <c r="V12" s="13"/>
      <c r="W12" s="13"/>
      <c r="X12" s="13"/>
      <c r="Y12" s="13"/>
      <c r="Z12" s="13"/>
      <c r="AA12" s="13"/>
    </row>
    <row r="13">
      <c r="A13" s="149">
        <v>6.0</v>
      </c>
      <c r="B13" s="32" t="s">
        <v>20</v>
      </c>
      <c r="C13" s="150">
        <v>0.36041666666666666</v>
      </c>
      <c r="D13" s="5"/>
      <c r="E13" s="150">
        <v>0.5034722222222222</v>
      </c>
      <c r="F13" s="5"/>
      <c r="G13" s="150">
        <v>0.5458333333333333</v>
      </c>
      <c r="H13" s="5"/>
      <c r="I13" s="150">
        <v>0.7444444444444445</v>
      </c>
      <c r="J13" s="5"/>
      <c r="K13" s="6"/>
      <c r="L13" s="90">
        <f t="shared" si="1"/>
        <v>0.3416666667</v>
      </c>
      <c r="M13" s="92">
        <f t="shared" si="2"/>
        <v>0.008333333333</v>
      </c>
      <c r="N13" s="91">
        <f t="shared" si="4"/>
        <v>0</v>
      </c>
      <c r="S13" s="13"/>
      <c r="T13" s="29"/>
      <c r="U13" s="29"/>
      <c r="V13" s="29"/>
      <c r="W13" s="37"/>
      <c r="X13" s="35"/>
      <c r="Y13" s="13"/>
      <c r="Z13" s="13"/>
      <c r="AA13" s="13"/>
    </row>
    <row r="14">
      <c r="A14" s="149">
        <v>7.0</v>
      </c>
      <c r="B14" s="33" t="s">
        <v>21</v>
      </c>
      <c r="C14" s="150">
        <v>0.35833333333333334</v>
      </c>
      <c r="D14" s="5"/>
      <c r="E14" s="150"/>
      <c r="F14" s="5"/>
      <c r="G14" s="150"/>
      <c r="H14" s="5"/>
      <c r="I14" s="150">
        <v>0.49930555555555556</v>
      </c>
      <c r="J14" s="5"/>
      <c r="K14" s="124"/>
      <c r="L14" s="90">
        <f t="shared" si="1"/>
        <v>0.1409722222</v>
      </c>
      <c r="M14" s="91">
        <f t="shared" si="2"/>
        <v>0</v>
      </c>
      <c r="N14" s="90">
        <v>0.004861111111111111</v>
      </c>
      <c r="P14" s="142">
        <v>-7.0</v>
      </c>
      <c r="S14" s="13"/>
      <c r="T14" s="29"/>
      <c r="U14" s="29"/>
      <c r="V14" s="29"/>
      <c r="W14" s="35"/>
      <c r="X14" s="96"/>
      <c r="Y14" s="13"/>
      <c r="Z14" s="13"/>
      <c r="AA14" s="13"/>
    </row>
    <row r="15">
      <c r="A15" s="149">
        <v>8.0</v>
      </c>
      <c r="B15" s="33" t="s">
        <v>23</v>
      </c>
      <c r="C15" s="150"/>
      <c r="D15" s="5"/>
      <c r="E15" s="150"/>
      <c r="F15" s="5"/>
      <c r="G15" s="150"/>
      <c r="H15" s="5"/>
      <c r="I15" s="150"/>
      <c r="J15" s="5"/>
      <c r="K15" s="6"/>
      <c r="L15" s="90">
        <f t="shared" si="1"/>
        <v>0</v>
      </c>
      <c r="M15" s="91">
        <f t="shared" si="2"/>
        <v>0</v>
      </c>
      <c r="N15" s="89">
        <v>0.0</v>
      </c>
      <c r="S15" s="13"/>
      <c r="T15" s="29"/>
      <c r="U15" s="29"/>
      <c r="V15" s="29"/>
      <c r="W15" s="37"/>
      <c r="X15" s="35"/>
      <c r="Y15" s="13"/>
      <c r="Z15" s="13"/>
      <c r="AA15" s="13"/>
    </row>
    <row r="16">
      <c r="A16" s="149">
        <v>9.0</v>
      </c>
      <c r="B16" s="27" t="s">
        <v>24</v>
      </c>
      <c r="C16" s="150">
        <v>0.3527777777777778</v>
      </c>
      <c r="D16" s="5"/>
      <c r="E16" s="150">
        <v>0.5006944444444444</v>
      </c>
      <c r="F16" s="5"/>
      <c r="G16" s="150">
        <v>0.5458333333333333</v>
      </c>
      <c r="H16" s="5"/>
      <c r="I16" s="150">
        <v>0.7444444444444445</v>
      </c>
      <c r="J16" s="5"/>
      <c r="K16" s="6"/>
      <c r="L16" s="90">
        <f t="shared" si="1"/>
        <v>0.3465277778</v>
      </c>
      <c r="M16" s="92">
        <f t="shared" si="2"/>
        <v>0.01319444444</v>
      </c>
      <c r="N16" s="91">
        <f t="shared" ref="N16:N20" si="5">+IF(($M$3-L16)&gt;$M$4,$M$3-L16,0)</f>
        <v>0</v>
      </c>
      <c r="S16" s="13"/>
      <c r="T16" s="29"/>
      <c r="U16" s="13"/>
      <c r="V16" s="13"/>
      <c r="W16" s="13"/>
      <c r="X16" s="13"/>
      <c r="Y16" s="13"/>
      <c r="Z16" s="13"/>
      <c r="AA16" s="13"/>
    </row>
    <row r="17">
      <c r="A17" s="149">
        <v>10.0</v>
      </c>
      <c r="B17" s="32" t="s">
        <v>58</v>
      </c>
      <c r="C17" s="150">
        <v>0.35694444444444445</v>
      </c>
      <c r="D17" s="5"/>
      <c r="E17" s="150">
        <v>0.5</v>
      </c>
      <c r="F17" s="5"/>
      <c r="G17" s="150">
        <v>0.55</v>
      </c>
      <c r="H17" s="5"/>
      <c r="I17" s="150">
        <v>0.7465277777777778</v>
      </c>
      <c r="J17" s="5"/>
      <c r="K17" s="6"/>
      <c r="L17" s="90">
        <f t="shared" si="1"/>
        <v>0.3395833333</v>
      </c>
      <c r="M17" s="90">
        <v>0.00625</v>
      </c>
      <c r="N17" s="91">
        <f t="shared" si="5"/>
        <v>0</v>
      </c>
      <c r="P17" s="29">
        <v>9.0</v>
      </c>
      <c r="S17" s="13"/>
      <c r="T17" s="29"/>
      <c r="U17" s="13"/>
      <c r="V17" s="13"/>
      <c r="W17" s="13"/>
      <c r="X17" s="13"/>
      <c r="Y17" s="13"/>
      <c r="Z17" s="13"/>
      <c r="AA17" s="13"/>
    </row>
    <row r="18">
      <c r="A18" s="149">
        <v>11.0</v>
      </c>
      <c r="B18" s="33" t="s">
        <v>18</v>
      </c>
      <c r="C18" s="150">
        <v>0.34930555555555554</v>
      </c>
      <c r="D18" s="5"/>
      <c r="E18" s="150">
        <v>0.5013888888888889</v>
      </c>
      <c r="F18" s="5"/>
      <c r="G18" s="150">
        <v>0.5520833333333334</v>
      </c>
      <c r="H18" s="5"/>
      <c r="I18" s="150">
        <v>0.7208333333333333</v>
      </c>
      <c r="J18" s="5"/>
      <c r="K18" s="6"/>
      <c r="L18" s="90">
        <f t="shared" si="1"/>
        <v>0.3208333333</v>
      </c>
      <c r="M18" s="91">
        <f t="shared" ref="M18:M20" si="6">IF((L18-$M$3)&gt;$M$4,L18-$M$3,0)</f>
        <v>0</v>
      </c>
      <c r="N18" s="92">
        <f t="shared" si="5"/>
        <v>0.0125</v>
      </c>
      <c r="S18" s="13"/>
      <c r="T18" s="29"/>
      <c r="U18" s="29"/>
      <c r="V18" s="29"/>
      <c r="W18" s="37"/>
      <c r="X18" s="35"/>
      <c r="Y18" s="13"/>
      <c r="Z18" s="13"/>
      <c r="AA18" s="29"/>
    </row>
    <row r="19">
      <c r="A19" s="149">
        <v>12.0</v>
      </c>
      <c r="B19" s="27" t="s">
        <v>19</v>
      </c>
      <c r="C19" s="150">
        <v>0.36527777777777776</v>
      </c>
      <c r="D19" s="5"/>
      <c r="E19" s="150">
        <v>0.5076388888888889</v>
      </c>
      <c r="F19" s="5"/>
      <c r="G19" s="150">
        <v>0.5576388888888889</v>
      </c>
      <c r="H19" s="5"/>
      <c r="I19" s="150">
        <v>0.7472222222222222</v>
      </c>
      <c r="J19" s="5"/>
      <c r="K19" s="6"/>
      <c r="L19" s="90">
        <f t="shared" si="1"/>
        <v>0.3319444444</v>
      </c>
      <c r="M19" s="91">
        <f t="shared" si="6"/>
        <v>0</v>
      </c>
      <c r="N19" s="91">
        <f t="shared" si="5"/>
        <v>0</v>
      </c>
      <c r="S19" s="13"/>
      <c r="T19" s="29"/>
      <c r="U19" s="29"/>
      <c r="V19" s="29"/>
      <c r="W19" s="37"/>
      <c r="X19" s="35"/>
      <c r="Y19" s="13"/>
      <c r="Z19" s="13"/>
      <c r="AA19" s="13"/>
    </row>
    <row r="20">
      <c r="A20" s="149">
        <v>13.0</v>
      </c>
      <c r="B20" s="32" t="s">
        <v>20</v>
      </c>
      <c r="C20" s="150">
        <v>0.3659722222222222</v>
      </c>
      <c r="D20" s="5"/>
      <c r="E20" s="150">
        <v>0.5027777777777778</v>
      </c>
      <c r="F20" s="5"/>
      <c r="G20" s="150">
        <v>0.5625</v>
      </c>
      <c r="H20" s="5"/>
      <c r="I20" s="150">
        <v>0.7472222222222222</v>
      </c>
      <c r="J20" s="5"/>
      <c r="K20" s="6"/>
      <c r="L20" s="90">
        <f t="shared" si="1"/>
        <v>0.3215277778</v>
      </c>
      <c r="M20" s="91">
        <f t="shared" si="6"/>
        <v>0</v>
      </c>
      <c r="N20" s="92">
        <f t="shared" si="5"/>
        <v>0.01180555556</v>
      </c>
      <c r="O20" s="31"/>
      <c r="S20" s="13"/>
      <c r="T20" s="29"/>
      <c r="U20" s="29"/>
      <c r="V20" s="13"/>
      <c r="W20" s="13"/>
      <c r="X20" s="13"/>
      <c r="Y20" s="13"/>
      <c r="Z20" s="13"/>
      <c r="AA20" s="13"/>
    </row>
    <row r="21">
      <c r="A21" s="149">
        <v>14.0</v>
      </c>
      <c r="B21" s="33" t="s">
        <v>21</v>
      </c>
      <c r="C21" s="150">
        <v>0.33611111111111114</v>
      </c>
      <c r="D21" s="5"/>
      <c r="E21" s="150"/>
      <c r="F21" s="5"/>
      <c r="G21" s="150"/>
      <c r="H21" s="5"/>
      <c r="I21" s="150">
        <v>0.5104166666666666</v>
      </c>
      <c r="J21" s="5"/>
      <c r="K21" s="6"/>
      <c r="L21" s="90">
        <f t="shared" si="1"/>
        <v>0.1743055556</v>
      </c>
      <c r="M21" s="90">
        <v>0.007638888888888889</v>
      </c>
      <c r="N21" s="89">
        <v>0.0</v>
      </c>
      <c r="S21" s="13"/>
      <c r="T21" s="96"/>
      <c r="U21" s="29"/>
      <c r="V21" s="13"/>
      <c r="W21" s="13"/>
      <c r="X21" s="13"/>
      <c r="Y21" s="13"/>
      <c r="Z21" s="13"/>
      <c r="AA21" s="13"/>
    </row>
    <row r="22">
      <c r="A22" s="149">
        <v>15.0</v>
      </c>
      <c r="B22" s="33" t="s">
        <v>23</v>
      </c>
      <c r="C22" s="152"/>
      <c r="D22" s="5"/>
      <c r="E22" s="152"/>
      <c r="F22" s="5"/>
      <c r="G22" s="152"/>
      <c r="H22" s="5"/>
      <c r="I22" s="152"/>
      <c r="J22" s="5"/>
      <c r="K22" s="6"/>
      <c r="L22" s="90">
        <f t="shared" si="1"/>
        <v>0</v>
      </c>
      <c r="M22" s="91">
        <f t="shared" ref="M22:M26" si="7">IF((L22-$M$3)&gt;$M$4,L22-$M$3,0)</f>
        <v>0</v>
      </c>
      <c r="N22" s="91"/>
      <c r="S22" s="13"/>
      <c r="T22" s="29"/>
      <c r="U22" s="29"/>
      <c r="V22" s="29"/>
      <c r="W22" s="31"/>
      <c r="X22" s="35"/>
      <c r="Y22" s="13"/>
      <c r="Z22" s="13"/>
      <c r="AA22" s="13"/>
    </row>
    <row r="23">
      <c r="A23" s="149">
        <v>16.0</v>
      </c>
      <c r="B23" s="32" t="s">
        <v>24</v>
      </c>
      <c r="C23" s="147" t="s">
        <v>78</v>
      </c>
      <c r="D23" s="15"/>
      <c r="E23" s="15"/>
      <c r="F23" s="15"/>
      <c r="G23" s="15"/>
      <c r="H23" s="15"/>
      <c r="I23" s="15"/>
      <c r="J23" s="5"/>
      <c r="K23" s="6"/>
      <c r="L23" s="89">
        <v>0.0</v>
      </c>
      <c r="M23" s="91">
        <f t="shared" si="7"/>
        <v>0</v>
      </c>
      <c r="N23" s="90">
        <v>0.0</v>
      </c>
      <c r="S23" s="13"/>
      <c r="T23" s="29"/>
      <c r="U23" s="29"/>
      <c r="V23" s="29"/>
      <c r="W23" s="35"/>
      <c r="X23" s="29"/>
      <c r="Y23" s="13"/>
      <c r="Z23" s="13"/>
      <c r="AA23" s="13"/>
    </row>
    <row r="24">
      <c r="A24" s="149">
        <v>17.0</v>
      </c>
      <c r="B24" s="33" t="s">
        <v>58</v>
      </c>
      <c r="C24" s="147" t="s">
        <v>79</v>
      </c>
      <c r="D24" s="15"/>
      <c r="E24" s="15"/>
      <c r="F24" s="15"/>
      <c r="G24" s="15"/>
      <c r="H24" s="15"/>
      <c r="I24" s="15"/>
      <c r="J24" s="5"/>
      <c r="K24" s="6"/>
      <c r="L24" s="89">
        <v>0.0</v>
      </c>
      <c r="M24" s="91">
        <f t="shared" si="7"/>
        <v>0</v>
      </c>
      <c r="N24" s="90">
        <v>0.3333333333333333</v>
      </c>
      <c r="P24" s="142">
        <v>-8.0</v>
      </c>
      <c r="S24" s="13"/>
      <c r="T24" s="29"/>
      <c r="U24" s="29"/>
      <c r="V24" s="29"/>
      <c r="W24" s="37"/>
      <c r="X24" s="35"/>
      <c r="Y24" s="13"/>
      <c r="Z24" s="13"/>
      <c r="AA24" s="13"/>
    </row>
    <row r="25">
      <c r="A25" s="149">
        <v>18.0</v>
      </c>
      <c r="B25" s="33" t="s">
        <v>18</v>
      </c>
      <c r="C25" s="150">
        <v>0.35625</v>
      </c>
      <c r="D25" s="5"/>
      <c r="E25" s="150">
        <v>0.5020833333333333</v>
      </c>
      <c r="F25" s="5"/>
      <c r="G25" s="150">
        <v>0.5527777777777778</v>
      </c>
      <c r="H25" s="5"/>
      <c r="I25" s="150">
        <v>0.7506944444444444</v>
      </c>
      <c r="J25" s="5"/>
      <c r="K25" s="6"/>
      <c r="L25" s="90">
        <f t="shared" ref="L25:L34" si="8">(E25-C25)+(I25-G25)</f>
        <v>0.34375</v>
      </c>
      <c r="M25" s="92">
        <f t="shared" si="7"/>
        <v>0.01041666667</v>
      </c>
      <c r="N25" s="90">
        <v>0.0</v>
      </c>
      <c r="S25" s="13"/>
      <c r="T25" s="29"/>
      <c r="U25" s="29"/>
      <c r="V25" s="13"/>
      <c r="W25" s="13"/>
      <c r="X25" s="13"/>
      <c r="Y25" s="13"/>
      <c r="Z25" s="13"/>
      <c r="AA25" s="13"/>
    </row>
    <row r="26">
      <c r="A26" s="149">
        <v>19.0</v>
      </c>
      <c r="B26" s="32" t="s">
        <v>19</v>
      </c>
      <c r="C26" s="150">
        <v>0.3659722222222222</v>
      </c>
      <c r="D26" s="5"/>
      <c r="E26" s="150">
        <v>0.5069444444444444</v>
      </c>
      <c r="F26" s="5"/>
      <c r="G26" s="150">
        <v>0.5756944444444444</v>
      </c>
      <c r="H26" s="5"/>
      <c r="I26" s="150">
        <v>0.7472222222222222</v>
      </c>
      <c r="J26" s="5"/>
      <c r="K26" s="127"/>
      <c r="L26" s="90">
        <f t="shared" si="8"/>
        <v>0.3125</v>
      </c>
      <c r="M26" s="91">
        <f t="shared" si="7"/>
        <v>0</v>
      </c>
      <c r="N26" s="90">
        <v>0.014583333333333334</v>
      </c>
      <c r="O26" s="98" t="s">
        <v>95</v>
      </c>
      <c r="S26" s="29"/>
      <c r="T26" s="29"/>
      <c r="U26" s="29"/>
      <c r="V26" s="96"/>
      <c r="W26" s="29"/>
      <c r="X26" s="35"/>
      <c r="Y26" s="13"/>
      <c r="Z26" s="13"/>
      <c r="AA26" s="29"/>
    </row>
    <row r="27">
      <c r="A27" s="149">
        <v>20.0</v>
      </c>
      <c r="B27" s="33" t="s">
        <v>20</v>
      </c>
      <c r="C27" s="150">
        <v>0.3597222222222222</v>
      </c>
      <c r="D27" s="5"/>
      <c r="E27" s="150">
        <v>0.5131944444444444</v>
      </c>
      <c r="F27" s="5"/>
      <c r="G27" s="150">
        <v>0.5645833333333333</v>
      </c>
      <c r="H27" s="5"/>
      <c r="I27" s="150">
        <v>0.7513888888888889</v>
      </c>
      <c r="J27" s="5"/>
      <c r="K27" s="6"/>
      <c r="L27" s="90">
        <f t="shared" si="8"/>
        <v>0.3402777778</v>
      </c>
      <c r="M27" s="90">
        <v>0.006944444444444444</v>
      </c>
      <c r="N27" s="91">
        <f>+IF(($M$3-L27)&gt;$M$4,$M$3-L27,0)</f>
        <v>0</v>
      </c>
      <c r="S27" s="13"/>
      <c r="T27" s="29"/>
      <c r="U27" s="29"/>
      <c r="V27" s="13"/>
      <c r="W27" s="13"/>
      <c r="X27" s="13"/>
      <c r="Y27" s="13"/>
      <c r="Z27" s="13"/>
      <c r="AA27" s="13"/>
    </row>
    <row r="28">
      <c r="A28" s="149">
        <v>21.0</v>
      </c>
      <c r="B28" s="33" t="s">
        <v>21</v>
      </c>
      <c r="C28" s="150">
        <v>0.34097222222222223</v>
      </c>
      <c r="D28" s="5"/>
      <c r="E28" s="150"/>
      <c r="F28" s="5"/>
      <c r="G28" s="150"/>
      <c r="H28" s="5"/>
      <c r="I28" s="150">
        <v>0.5034722222222222</v>
      </c>
      <c r="J28" s="5"/>
      <c r="K28" s="6"/>
      <c r="L28" s="90">
        <f t="shared" si="8"/>
        <v>0.1625</v>
      </c>
      <c r="M28" s="91">
        <f t="shared" ref="M28:M33" si="9">IF((L28-$M$3)&gt;$M$4,L28-$M$3,0)</f>
        <v>0</v>
      </c>
      <c r="N28" s="90">
        <v>0.004166666666666667</v>
      </c>
      <c r="P28" s="98"/>
      <c r="S28" s="13"/>
      <c r="T28" s="29"/>
      <c r="U28" s="39"/>
      <c r="V28" s="29"/>
      <c r="W28" s="35"/>
      <c r="X28" s="29"/>
      <c r="Y28" s="13"/>
      <c r="Z28" s="13"/>
      <c r="AA28" s="29"/>
    </row>
    <row r="29">
      <c r="A29" s="149">
        <v>22.0</v>
      </c>
      <c r="B29" s="33" t="s">
        <v>23</v>
      </c>
      <c r="C29" s="150"/>
      <c r="D29" s="5"/>
      <c r="E29" s="150"/>
      <c r="F29" s="5"/>
      <c r="G29" s="150"/>
      <c r="H29" s="5"/>
      <c r="I29" s="150"/>
      <c r="J29" s="5"/>
      <c r="K29" s="6"/>
      <c r="L29" s="90">
        <f t="shared" si="8"/>
        <v>0</v>
      </c>
      <c r="M29" s="91">
        <f t="shared" si="9"/>
        <v>0</v>
      </c>
      <c r="N29" s="89">
        <v>0.0</v>
      </c>
      <c r="O29" s="13"/>
      <c r="P29" s="13"/>
      <c r="Q29" s="13"/>
      <c r="R29" s="13"/>
      <c r="S29" s="13"/>
      <c r="T29" s="29"/>
      <c r="U29" s="39"/>
      <c r="V29" s="13"/>
      <c r="W29" s="13"/>
      <c r="X29" s="13"/>
      <c r="Y29" s="13"/>
      <c r="Z29" s="13"/>
      <c r="AA29" s="13"/>
    </row>
    <row r="30">
      <c r="A30" s="149">
        <v>23.0</v>
      </c>
      <c r="B30" s="32" t="s">
        <v>24</v>
      </c>
      <c r="C30" s="150">
        <v>0.3597222222222222</v>
      </c>
      <c r="D30" s="5"/>
      <c r="E30" s="150">
        <v>0.50625</v>
      </c>
      <c r="F30" s="5"/>
      <c r="G30" s="150">
        <v>0.5520833333333334</v>
      </c>
      <c r="H30" s="5"/>
      <c r="I30" s="150">
        <v>0.75625</v>
      </c>
      <c r="J30" s="5"/>
      <c r="K30" s="6"/>
      <c r="L30" s="90">
        <f t="shared" si="8"/>
        <v>0.3506944444</v>
      </c>
      <c r="M30" s="92">
        <f t="shared" si="9"/>
        <v>0.01736111111</v>
      </c>
      <c r="N30" s="90">
        <v>0.0</v>
      </c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149">
        <v>24.0</v>
      </c>
      <c r="B31" s="33" t="s">
        <v>58</v>
      </c>
      <c r="C31" s="150">
        <v>0.35347222222222224</v>
      </c>
      <c r="D31" s="5"/>
      <c r="E31" s="150">
        <v>0.5027777777777778</v>
      </c>
      <c r="F31" s="5"/>
      <c r="G31" s="150">
        <v>0.5534722222222223</v>
      </c>
      <c r="H31" s="5"/>
      <c r="I31" s="150">
        <v>0.75</v>
      </c>
      <c r="J31" s="5"/>
      <c r="K31" s="6"/>
      <c r="L31" s="90">
        <f t="shared" si="8"/>
        <v>0.3458333333</v>
      </c>
      <c r="M31" s="92">
        <f t="shared" si="9"/>
        <v>0.0125</v>
      </c>
      <c r="N31" s="91">
        <f t="shared" ref="N31:N33" si="10">+IF(($M$3-L31)&gt;$M$4,$M$3-L31,0)</f>
        <v>0</v>
      </c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149">
        <v>25.0</v>
      </c>
      <c r="B32" s="33" t="s">
        <v>18</v>
      </c>
      <c r="C32" s="150">
        <v>0.3659722222222222</v>
      </c>
      <c r="D32" s="5"/>
      <c r="E32" s="150">
        <v>0.5020833333333333</v>
      </c>
      <c r="F32" s="5"/>
      <c r="G32" s="150">
        <v>0.5569444444444445</v>
      </c>
      <c r="H32" s="5"/>
      <c r="I32" s="150">
        <v>0.7513888888888889</v>
      </c>
      <c r="J32" s="5"/>
      <c r="K32" s="6"/>
      <c r="L32" s="90">
        <f t="shared" si="8"/>
        <v>0.3305555556</v>
      </c>
      <c r="M32" s="91">
        <f t="shared" si="9"/>
        <v>0</v>
      </c>
      <c r="N32" s="91">
        <f t="shared" si="10"/>
        <v>0</v>
      </c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149">
        <v>26.0</v>
      </c>
      <c r="B33" s="33" t="s">
        <v>19</v>
      </c>
      <c r="C33" s="150">
        <v>0.3638888888888889</v>
      </c>
      <c r="D33" s="5"/>
      <c r="E33" s="150">
        <v>0.5034722222222222</v>
      </c>
      <c r="F33" s="5"/>
      <c r="G33" s="150">
        <v>0.5541666666666667</v>
      </c>
      <c r="H33" s="5"/>
      <c r="I33" s="150">
        <v>0.7465277777777778</v>
      </c>
      <c r="J33" s="5"/>
      <c r="K33" s="6"/>
      <c r="L33" s="90">
        <f t="shared" si="8"/>
        <v>0.3319444444</v>
      </c>
      <c r="M33" s="91">
        <f t="shared" si="9"/>
        <v>0</v>
      </c>
      <c r="N33" s="91">
        <f t="shared" si="10"/>
        <v>0</v>
      </c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149">
        <v>27.0</v>
      </c>
      <c r="B34" s="33" t="s">
        <v>20</v>
      </c>
      <c r="C34" s="150">
        <v>0.35555555555555557</v>
      </c>
      <c r="D34" s="5"/>
      <c r="E34" s="150">
        <v>0.5097222222222222</v>
      </c>
      <c r="F34" s="5"/>
      <c r="G34" s="150">
        <v>0.5569444444444445</v>
      </c>
      <c r="H34" s="5"/>
      <c r="I34" s="150">
        <v>0.7583333333333333</v>
      </c>
      <c r="J34" s="5"/>
      <c r="K34" s="6"/>
      <c r="L34" s="90">
        <f t="shared" si="8"/>
        <v>0.3555555556</v>
      </c>
      <c r="M34" s="90">
        <v>0.022222222222222223</v>
      </c>
      <c r="N34" s="89">
        <v>0.0</v>
      </c>
      <c r="O34" s="29"/>
      <c r="P34" s="142">
        <v>32.0</v>
      </c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149">
        <v>28.0</v>
      </c>
      <c r="B35" s="33" t="s">
        <v>21</v>
      </c>
      <c r="C35" s="28">
        <v>0.3402777777777778</v>
      </c>
      <c r="D35" s="5"/>
      <c r="E35" s="28"/>
      <c r="F35" s="5"/>
      <c r="G35" s="28"/>
      <c r="H35" s="5"/>
      <c r="I35" s="28">
        <v>0.5090277777777777</v>
      </c>
      <c r="J35" s="5"/>
      <c r="L35" s="130">
        <v>0.0</v>
      </c>
      <c r="M35" s="130">
        <v>0.0</v>
      </c>
      <c r="N35" s="131"/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107" t="s">
        <v>96</v>
      </c>
      <c r="B36" s="15"/>
      <c r="C36" s="15"/>
      <c r="D36" s="15"/>
      <c r="E36" s="15"/>
      <c r="F36" s="15"/>
      <c r="G36" s="15"/>
      <c r="H36" s="15"/>
      <c r="I36" s="15"/>
      <c r="J36" s="5"/>
      <c r="K36" s="6"/>
      <c r="L36" s="130">
        <v>0.0</v>
      </c>
      <c r="M36" s="130">
        <v>0.0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107" t="s">
        <v>97</v>
      </c>
      <c r="B37" s="15"/>
      <c r="C37" s="15"/>
      <c r="D37" s="15"/>
      <c r="E37" s="15"/>
      <c r="F37" s="15"/>
      <c r="G37" s="15"/>
      <c r="H37" s="15"/>
      <c r="I37" s="15"/>
      <c r="J37" s="5"/>
      <c r="K37" s="6"/>
      <c r="L37" s="130">
        <v>0.0</v>
      </c>
      <c r="M37" s="130">
        <v>0.0</v>
      </c>
      <c r="N37" s="130">
        <v>0.0</v>
      </c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A38" s="132" t="s">
        <v>98</v>
      </c>
      <c r="B38" s="3"/>
      <c r="C38" s="3"/>
      <c r="D38" s="3"/>
      <c r="E38" s="3"/>
      <c r="F38" s="3"/>
      <c r="G38" s="3"/>
      <c r="H38" s="3"/>
      <c r="I38" s="3"/>
      <c r="J38" s="2"/>
      <c r="K38" s="6"/>
      <c r="L38" s="104"/>
      <c r="M38" s="106">
        <f t="shared" ref="M38:N38" si="11">SUM(M8:M37)</f>
        <v>0.1236111111</v>
      </c>
      <c r="N38" s="106">
        <f t="shared" si="11"/>
        <v>0.8965277778</v>
      </c>
      <c r="O38" s="29"/>
      <c r="P38" s="13"/>
      <c r="Q38" s="13"/>
      <c r="R38" s="13"/>
    </row>
    <row r="39">
      <c r="A39" s="133" t="s">
        <v>35</v>
      </c>
      <c r="B39" s="134"/>
      <c r="C39" s="134"/>
      <c r="D39" s="134"/>
      <c r="E39" s="134"/>
      <c r="F39" s="134"/>
      <c r="G39" s="3"/>
      <c r="H39" s="134"/>
      <c r="I39" s="134"/>
      <c r="J39" s="135"/>
      <c r="K39" s="6"/>
      <c r="P39" s="13"/>
      <c r="Q39" s="13"/>
      <c r="R39" s="13"/>
    </row>
    <row r="40">
      <c r="A40" s="136"/>
      <c r="B40" s="137"/>
      <c r="C40" s="137"/>
      <c r="D40" s="137"/>
      <c r="F40" s="137"/>
      <c r="H40" s="137"/>
      <c r="I40" s="137"/>
      <c r="J40" s="138"/>
      <c r="K40" s="6"/>
      <c r="M40" s="35"/>
    </row>
    <row r="41">
      <c r="A41" s="139" t="s">
        <v>36</v>
      </c>
      <c r="B41" s="137"/>
      <c r="C41" s="140" t="s">
        <v>37</v>
      </c>
      <c r="D41" s="137"/>
      <c r="F41" s="137"/>
      <c r="H41" s="137"/>
      <c r="I41" s="137"/>
      <c r="J41" s="138"/>
      <c r="K41" s="6"/>
    </row>
    <row r="42">
      <c r="A42" s="58"/>
      <c r="B42" s="59"/>
      <c r="C42" s="59"/>
      <c r="D42" s="59"/>
      <c r="E42" s="11"/>
      <c r="F42" s="59"/>
      <c r="G42" s="11"/>
      <c r="H42" s="59"/>
      <c r="I42" s="59"/>
      <c r="J42" s="60"/>
      <c r="L42" s="31" t="s">
        <v>56</v>
      </c>
    </row>
    <row r="43">
      <c r="L43" s="98" t="s">
        <v>57</v>
      </c>
    </row>
    <row r="50">
      <c r="L50" s="141"/>
    </row>
  </sheetData>
  <mergeCells count="130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6:D26"/>
    <mergeCell ref="C27:D27"/>
    <mergeCell ref="E27:F27"/>
    <mergeCell ref="G27:H27"/>
    <mergeCell ref="I27:J27"/>
    <mergeCell ref="C28:D28"/>
    <mergeCell ref="E28:F28"/>
    <mergeCell ref="C29:D29"/>
    <mergeCell ref="E29:F29"/>
    <mergeCell ref="G29:H29"/>
    <mergeCell ref="I29:J29"/>
    <mergeCell ref="E30:F30"/>
    <mergeCell ref="G30:H30"/>
    <mergeCell ref="I30:J30"/>
    <mergeCell ref="G32:H32"/>
    <mergeCell ref="I32:J32"/>
    <mergeCell ref="C30:D30"/>
    <mergeCell ref="C31:D31"/>
    <mergeCell ref="E31:F31"/>
    <mergeCell ref="G31:H31"/>
    <mergeCell ref="I31:J31"/>
    <mergeCell ref="C32:D32"/>
    <mergeCell ref="E32:F32"/>
    <mergeCell ref="D41:E41"/>
    <mergeCell ref="D42:E42"/>
    <mergeCell ref="F42:G42"/>
    <mergeCell ref="A36:J36"/>
    <mergeCell ref="A37:J37"/>
    <mergeCell ref="A38:J38"/>
    <mergeCell ref="F39:G39"/>
    <mergeCell ref="D40:E40"/>
    <mergeCell ref="F40:G40"/>
    <mergeCell ref="F41:G41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C21:D21"/>
    <mergeCell ref="C22:D22"/>
    <mergeCell ref="E22:F22"/>
    <mergeCell ref="G22:H22"/>
    <mergeCell ref="I22:J22"/>
    <mergeCell ref="C23:J23"/>
    <mergeCell ref="C24:J24"/>
    <mergeCell ref="C25:D25"/>
    <mergeCell ref="E25:F25"/>
    <mergeCell ref="G25:H25"/>
    <mergeCell ref="I25:J25"/>
    <mergeCell ref="E26:F26"/>
    <mergeCell ref="G26:H26"/>
    <mergeCell ref="I26:J26"/>
    <mergeCell ref="G28:H28"/>
    <mergeCell ref="I28:J28"/>
    <mergeCell ref="C34:D34"/>
    <mergeCell ref="C35:D35"/>
    <mergeCell ref="E35:F35"/>
    <mergeCell ref="G35:H35"/>
    <mergeCell ref="I35:J35"/>
    <mergeCell ref="C33:D33"/>
    <mergeCell ref="E33:F33"/>
    <mergeCell ref="G33:H33"/>
    <mergeCell ref="I33:J33"/>
    <mergeCell ref="E34:F34"/>
    <mergeCell ref="G34:H34"/>
    <mergeCell ref="I34:J34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23" t="s">
        <v>99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Y7" s="13"/>
      <c r="Z7" s="13"/>
      <c r="AA7" s="13"/>
    </row>
    <row r="8">
      <c r="A8" s="148">
        <v>1.0</v>
      </c>
      <c r="B8" s="155" t="s">
        <v>19</v>
      </c>
      <c r="C8" s="156" t="s">
        <v>100</v>
      </c>
      <c r="D8" s="15"/>
      <c r="E8" s="15"/>
      <c r="F8" s="15"/>
      <c r="G8" s="15"/>
      <c r="H8" s="15"/>
      <c r="I8" s="15"/>
      <c r="J8" s="5"/>
      <c r="K8" s="6"/>
      <c r="L8" s="89" t="str">
        <f t="shared" ref="L8:L34" si="1">(E8-C8)+(I8-G8)</f>
        <v>#VALUE!</v>
      </c>
      <c r="M8" s="90">
        <v>0.0</v>
      </c>
      <c r="N8" s="90">
        <v>0.0</v>
      </c>
      <c r="T8" s="29"/>
      <c r="U8" s="29">
        <v>30.0</v>
      </c>
      <c r="V8" s="13"/>
      <c r="W8" s="13"/>
      <c r="X8" s="13"/>
      <c r="Y8" s="13"/>
      <c r="Z8" s="13"/>
      <c r="AA8" s="13"/>
    </row>
    <row r="9">
      <c r="A9" s="149">
        <v>2.0</v>
      </c>
      <c r="B9" s="155" t="s">
        <v>20</v>
      </c>
      <c r="C9" s="156" t="s">
        <v>100</v>
      </c>
      <c r="D9" s="15"/>
      <c r="E9" s="15"/>
      <c r="F9" s="15"/>
      <c r="G9" s="15"/>
      <c r="H9" s="15"/>
      <c r="I9" s="15"/>
      <c r="J9" s="5"/>
      <c r="K9" s="6"/>
      <c r="L9" s="89" t="str">
        <f t="shared" si="1"/>
        <v>#VALUE!</v>
      </c>
      <c r="M9" s="90">
        <v>0.0</v>
      </c>
      <c r="N9" s="90">
        <v>0.0</v>
      </c>
      <c r="S9" s="157">
        <f>33-8</f>
        <v>25</v>
      </c>
      <c r="T9" s="29"/>
      <c r="U9" s="29">
        <v>30.0</v>
      </c>
      <c r="V9" s="13"/>
      <c r="W9" s="13"/>
      <c r="X9" s="13"/>
      <c r="Y9" s="13"/>
      <c r="Z9" s="13"/>
      <c r="AA9" s="29"/>
    </row>
    <row r="10">
      <c r="A10" s="149">
        <v>3.0</v>
      </c>
      <c r="B10" s="158" t="s">
        <v>21</v>
      </c>
      <c r="C10" s="156" t="s">
        <v>100</v>
      </c>
      <c r="D10" s="15"/>
      <c r="E10" s="15"/>
      <c r="F10" s="15"/>
      <c r="G10" s="15"/>
      <c r="H10" s="15"/>
      <c r="I10" s="15"/>
      <c r="J10" s="5"/>
      <c r="K10" s="6"/>
      <c r="L10" s="89" t="str">
        <f t="shared" si="1"/>
        <v>#VALUE!</v>
      </c>
      <c r="M10" s="41">
        <v>0.0</v>
      </c>
      <c r="N10" s="90">
        <v>0.0</v>
      </c>
      <c r="T10" s="29"/>
      <c r="U10" s="29">
        <v>30.0</v>
      </c>
      <c r="V10" s="13"/>
      <c r="W10" s="13"/>
      <c r="X10" s="13"/>
      <c r="Y10" s="13"/>
      <c r="Z10" s="13"/>
      <c r="AA10" s="13"/>
    </row>
    <row r="11">
      <c r="A11" s="149">
        <v>4.0</v>
      </c>
      <c r="B11" s="159" t="s">
        <v>23</v>
      </c>
      <c r="C11" s="156" t="s">
        <v>100</v>
      </c>
      <c r="D11" s="15"/>
      <c r="E11" s="15"/>
      <c r="F11" s="15"/>
      <c r="G11" s="15"/>
      <c r="H11" s="15"/>
      <c r="I11" s="15"/>
      <c r="J11" s="5"/>
      <c r="K11" s="6"/>
      <c r="L11" s="89" t="str">
        <f t="shared" si="1"/>
        <v>#VALUE!</v>
      </c>
      <c r="M11" s="89">
        <v>0.0</v>
      </c>
      <c r="N11" s="90">
        <v>0.0</v>
      </c>
      <c r="T11" s="29"/>
      <c r="U11" s="29"/>
      <c r="V11" s="13"/>
      <c r="W11" s="13"/>
      <c r="X11" s="13"/>
      <c r="Y11" s="13"/>
      <c r="Z11" s="13"/>
      <c r="AA11" s="13"/>
    </row>
    <row r="12">
      <c r="A12" s="149">
        <v>5.0</v>
      </c>
      <c r="B12" s="155" t="s">
        <v>24</v>
      </c>
      <c r="C12" s="150">
        <v>0.3597222222222222</v>
      </c>
      <c r="D12" s="5"/>
      <c r="E12" s="150">
        <v>0.5104166666666666</v>
      </c>
      <c r="F12" s="5"/>
      <c r="G12" s="150">
        <v>0.5604166666666667</v>
      </c>
      <c r="H12" s="5"/>
      <c r="I12" s="150">
        <v>0.7534722222222222</v>
      </c>
      <c r="J12" s="5"/>
      <c r="K12" s="6"/>
      <c r="L12" s="90">
        <f t="shared" si="1"/>
        <v>0.34375</v>
      </c>
      <c r="M12" s="92">
        <f t="shared" ref="M12:M16" si="2">IF((L12-$M$3)&gt;$M$4,L12-$M$3,0)</f>
        <v>0.01041666667</v>
      </c>
      <c r="N12" s="91">
        <f t="shared" ref="N12:N16" si="3">+IF(($M$3-L12)&gt;$M$4,$M$3-L12,0)</f>
        <v>0</v>
      </c>
      <c r="T12" s="29"/>
      <c r="U12" s="29"/>
      <c r="V12" s="13"/>
      <c r="W12" s="13"/>
      <c r="X12" s="13"/>
      <c r="Y12" s="13"/>
      <c r="Z12" s="13"/>
      <c r="AA12" s="13"/>
    </row>
    <row r="13">
      <c r="A13" s="149">
        <v>6.0</v>
      </c>
      <c r="B13" s="158" t="s">
        <v>58</v>
      </c>
      <c r="C13" s="150">
        <v>0.3576388888888889</v>
      </c>
      <c r="D13" s="5"/>
      <c r="E13" s="150">
        <v>0.5027777777777778</v>
      </c>
      <c r="F13" s="5"/>
      <c r="G13" s="150">
        <v>0.5548611111111111</v>
      </c>
      <c r="H13" s="5"/>
      <c r="I13" s="150">
        <v>0.7611111111111111</v>
      </c>
      <c r="J13" s="5"/>
      <c r="K13" s="6"/>
      <c r="L13" s="90">
        <f t="shared" si="1"/>
        <v>0.3513888889</v>
      </c>
      <c r="M13" s="92">
        <f t="shared" si="2"/>
        <v>0.01805555556</v>
      </c>
      <c r="N13" s="91">
        <f t="shared" si="3"/>
        <v>0</v>
      </c>
      <c r="T13" s="29"/>
      <c r="U13" s="29">
        <v>30.0</v>
      </c>
      <c r="V13" s="29"/>
      <c r="W13" s="37"/>
      <c r="X13" s="35"/>
      <c r="Y13" s="13"/>
      <c r="Z13" s="13"/>
      <c r="AA13" s="13"/>
    </row>
    <row r="14">
      <c r="A14" s="149">
        <v>7.0</v>
      </c>
      <c r="B14" s="159" t="s">
        <v>18</v>
      </c>
      <c r="C14" s="150">
        <v>0.3611111111111111</v>
      </c>
      <c r="D14" s="5"/>
      <c r="E14" s="150">
        <v>0.5104166666666666</v>
      </c>
      <c r="F14" s="5"/>
      <c r="G14" s="150">
        <v>0.5576388888888889</v>
      </c>
      <c r="H14" s="5"/>
      <c r="I14" s="150">
        <v>0.7486111111111111</v>
      </c>
      <c r="J14" s="5"/>
      <c r="K14" s="124"/>
      <c r="L14" s="90">
        <f t="shared" si="1"/>
        <v>0.3402777778</v>
      </c>
      <c r="M14" s="91">
        <f t="shared" si="2"/>
        <v>0</v>
      </c>
      <c r="N14" s="91">
        <f t="shared" si="3"/>
        <v>0</v>
      </c>
      <c r="T14" s="29"/>
      <c r="U14" s="29">
        <v>30.0</v>
      </c>
      <c r="V14" s="93" t="s">
        <v>27</v>
      </c>
      <c r="W14" s="94">
        <v>0.11180555555555556</v>
      </c>
      <c r="X14" s="160" t="s">
        <v>101</v>
      </c>
      <c r="Y14" s="13"/>
      <c r="Z14" s="13"/>
      <c r="AA14" s="13"/>
    </row>
    <row r="15">
      <c r="A15" s="149">
        <v>8.0</v>
      </c>
      <c r="B15" s="159" t="s">
        <v>19</v>
      </c>
      <c r="C15" s="150">
        <v>0.35625</v>
      </c>
      <c r="D15" s="5"/>
      <c r="E15" s="150">
        <v>0.5076388888888889</v>
      </c>
      <c r="F15" s="5"/>
      <c r="G15" s="150">
        <v>0.5590277777777778</v>
      </c>
      <c r="H15" s="5"/>
      <c r="I15" s="150">
        <v>0.7493055555555556</v>
      </c>
      <c r="J15" s="5"/>
      <c r="K15" s="6"/>
      <c r="L15" s="90">
        <f t="shared" si="1"/>
        <v>0.3416666667</v>
      </c>
      <c r="M15" s="92">
        <f t="shared" si="2"/>
        <v>0.008333333333</v>
      </c>
      <c r="N15" s="91">
        <f t="shared" si="3"/>
        <v>0</v>
      </c>
      <c r="T15" s="29"/>
      <c r="U15" s="29">
        <v>30.0</v>
      </c>
      <c r="V15" s="29"/>
      <c r="W15" s="37"/>
      <c r="X15" s="35"/>
      <c r="Y15" s="13"/>
      <c r="Z15" s="13"/>
      <c r="AA15" s="13"/>
    </row>
    <row r="16">
      <c r="A16" s="149">
        <v>9.0</v>
      </c>
      <c r="B16" s="155" t="s">
        <v>20</v>
      </c>
      <c r="C16" s="150">
        <v>0.3680555555555556</v>
      </c>
      <c r="D16" s="5"/>
      <c r="E16" s="150">
        <v>0.5034722222222222</v>
      </c>
      <c r="F16" s="5"/>
      <c r="G16" s="150">
        <v>0.5493055555555556</v>
      </c>
      <c r="H16" s="5"/>
      <c r="I16" s="150">
        <v>0.7527777777777778</v>
      </c>
      <c r="J16" s="5"/>
      <c r="K16" s="6"/>
      <c r="L16" s="90">
        <f t="shared" si="1"/>
        <v>0.3388888889</v>
      </c>
      <c r="M16" s="91">
        <f t="shared" si="2"/>
        <v>0</v>
      </c>
      <c r="N16" s="91">
        <f t="shared" si="3"/>
        <v>0</v>
      </c>
      <c r="T16" s="29"/>
      <c r="U16" s="142">
        <v>30.0</v>
      </c>
      <c r="V16" s="13"/>
      <c r="W16" s="13"/>
      <c r="X16" s="13"/>
      <c r="Y16" s="13"/>
      <c r="Z16" s="13"/>
      <c r="AA16" s="13"/>
    </row>
    <row r="17">
      <c r="A17" s="149">
        <v>10.0</v>
      </c>
      <c r="B17" s="158" t="s">
        <v>21</v>
      </c>
      <c r="C17" s="150">
        <v>0.33402777777777776</v>
      </c>
      <c r="D17" s="5"/>
      <c r="E17" s="150"/>
      <c r="F17" s="5"/>
      <c r="G17" s="150"/>
      <c r="H17" s="5"/>
      <c r="I17" s="150">
        <v>0.5083333333333333</v>
      </c>
      <c r="J17" s="5"/>
      <c r="K17" s="6"/>
      <c r="L17" s="90">
        <f t="shared" si="1"/>
        <v>0.1743055556</v>
      </c>
      <c r="M17" s="90">
        <v>0.007638888888888889</v>
      </c>
      <c r="N17" s="89">
        <v>0.0</v>
      </c>
      <c r="P17" s="35"/>
      <c r="T17" s="29"/>
      <c r="U17" s="142">
        <v>30.0</v>
      </c>
      <c r="V17" s="13"/>
      <c r="W17" s="13"/>
      <c r="X17" s="13"/>
      <c r="Y17" s="13"/>
      <c r="Z17" s="13"/>
      <c r="AA17" s="13"/>
    </row>
    <row r="18">
      <c r="A18" s="149">
        <v>11.0</v>
      </c>
      <c r="B18" s="159" t="s">
        <v>23</v>
      </c>
      <c r="C18" s="150"/>
      <c r="D18" s="5"/>
      <c r="E18" s="150"/>
      <c r="F18" s="5"/>
      <c r="G18" s="150"/>
      <c r="H18" s="5"/>
      <c r="I18" s="150"/>
      <c r="J18" s="5"/>
      <c r="K18" s="6"/>
      <c r="L18" s="90">
        <f t="shared" si="1"/>
        <v>0</v>
      </c>
      <c r="M18" s="91">
        <f t="shared" ref="M18:M31" si="4">IF((L18-$M$3)&gt;$M$4,L18-$M$3,0)</f>
        <v>0</v>
      </c>
      <c r="N18" s="90">
        <v>0.0</v>
      </c>
      <c r="T18" s="29"/>
      <c r="U18" s="29"/>
      <c r="V18" s="29"/>
      <c r="W18" s="37"/>
      <c r="X18" s="35"/>
      <c r="Y18" s="13"/>
      <c r="Z18" s="13"/>
      <c r="AA18" s="29"/>
    </row>
    <row r="19">
      <c r="A19" s="149">
        <v>12.0</v>
      </c>
      <c r="B19" s="155" t="s">
        <v>24</v>
      </c>
      <c r="C19" s="150">
        <v>0.3548611111111111</v>
      </c>
      <c r="D19" s="5"/>
      <c r="E19" s="150">
        <v>0.5069444444444444</v>
      </c>
      <c r="F19" s="5"/>
      <c r="G19" s="150">
        <v>0.5493055555555556</v>
      </c>
      <c r="H19" s="5"/>
      <c r="I19" s="150">
        <v>0.75</v>
      </c>
      <c r="J19" s="5"/>
      <c r="K19" s="6"/>
      <c r="L19" s="90">
        <f t="shared" si="1"/>
        <v>0.3527777778</v>
      </c>
      <c r="M19" s="92">
        <f t="shared" si="4"/>
        <v>0.01944444444</v>
      </c>
      <c r="N19" s="91">
        <f t="shared" ref="N19:N23" si="5">+IF(($M$3-L19)&gt;$M$4,$M$3-L19,0)</f>
        <v>0</v>
      </c>
      <c r="T19" s="29"/>
      <c r="U19" s="29"/>
      <c r="V19" s="29"/>
      <c r="W19" s="37"/>
      <c r="X19" s="35"/>
      <c r="Y19" s="13"/>
      <c r="Z19" s="13"/>
      <c r="AA19" s="13"/>
    </row>
    <row r="20">
      <c r="A20" s="149">
        <v>13.0</v>
      </c>
      <c r="B20" s="158" t="s">
        <v>58</v>
      </c>
      <c r="C20" s="150">
        <v>0.3611111111111111</v>
      </c>
      <c r="D20" s="5"/>
      <c r="E20" s="150">
        <v>0.5027777777777778</v>
      </c>
      <c r="F20" s="5"/>
      <c r="G20" s="150">
        <v>0.55</v>
      </c>
      <c r="H20" s="5"/>
      <c r="I20" s="150">
        <v>0.7479166666666667</v>
      </c>
      <c r="J20" s="5"/>
      <c r="K20" s="6"/>
      <c r="L20" s="90">
        <f t="shared" si="1"/>
        <v>0.3395833333</v>
      </c>
      <c r="M20" s="91">
        <f t="shared" si="4"/>
        <v>0</v>
      </c>
      <c r="N20" s="91">
        <f t="shared" si="5"/>
        <v>0</v>
      </c>
      <c r="O20" s="31"/>
      <c r="T20" s="29"/>
      <c r="U20" s="29">
        <v>30.0</v>
      </c>
      <c r="V20" s="13"/>
      <c r="W20" s="13"/>
      <c r="X20" s="13"/>
      <c r="Y20" s="13"/>
      <c r="Z20" s="13"/>
      <c r="AA20" s="13"/>
    </row>
    <row r="21">
      <c r="A21" s="149">
        <v>14.0</v>
      </c>
      <c r="B21" s="159" t="s">
        <v>18</v>
      </c>
      <c r="C21" s="150">
        <v>0.37222222222222223</v>
      </c>
      <c r="D21" s="5"/>
      <c r="E21" s="150">
        <v>0.5652777777777778</v>
      </c>
      <c r="F21" s="5"/>
      <c r="G21" s="150"/>
      <c r="H21" s="5"/>
      <c r="I21" s="150"/>
      <c r="J21" s="5"/>
      <c r="K21" s="6"/>
      <c r="L21" s="90">
        <f t="shared" si="1"/>
        <v>0.1930555556</v>
      </c>
      <c r="M21" s="91">
        <f t="shared" si="4"/>
        <v>0</v>
      </c>
      <c r="N21" s="92">
        <f t="shared" si="5"/>
        <v>0.1402777778</v>
      </c>
      <c r="T21" s="96"/>
      <c r="U21" s="29">
        <v>30.0</v>
      </c>
      <c r="V21" s="13"/>
      <c r="W21" s="13"/>
      <c r="X21" s="13"/>
      <c r="Y21" s="13"/>
      <c r="Z21" s="13"/>
      <c r="AA21" s="13"/>
    </row>
    <row r="22">
      <c r="A22" s="149">
        <v>15.0</v>
      </c>
      <c r="B22" s="159" t="s">
        <v>19</v>
      </c>
      <c r="C22" s="152">
        <v>0.36319444444444443</v>
      </c>
      <c r="D22" s="5"/>
      <c r="E22" s="152">
        <v>0.5069444444444444</v>
      </c>
      <c r="F22" s="5"/>
      <c r="G22" s="152">
        <v>0.5472222222222223</v>
      </c>
      <c r="H22" s="5"/>
      <c r="I22" s="152">
        <v>0.7611111111111111</v>
      </c>
      <c r="J22" s="5"/>
      <c r="K22" s="6"/>
      <c r="L22" s="90">
        <f t="shared" si="1"/>
        <v>0.3576388889</v>
      </c>
      <c r="M22" s="92">
        <f t="shared" si="4"/>
        <v>0.02430555556</v>
      </c>
      <c r="N22" s="91">
        <f t="shared" si="5"/>
        <v>0</v>
      </c>
      <c r="T22" s="29"/>
      <c r="U22" s="29">
        <v>30.0</v>
      </c>
      <c r="V22" s="29"/>
      <c r="W22" s="31"/>
      <c r="X22" s="35"/>
      <c r="Y22" s="13"/>
      <c r="Z22" s="13"/>
      <c r="AA22" s="13"/>
    </row>
    <row r="23">
      <c r="A23" s="149">
        <v>16.0</v>
      </c>
      <c r="B23" s="158" t="s">
        <v>20</v>
      </c>
      <c r="C23" s="152">
        <v>0.3590277777777778</v>
      </c>
      <c r="D23" s="5"/>
      <c r="E23" s="152">
        <v>0.5041666666666667</v>
      </c>
      <c r="F23" s="5"/>
      <c r="G23" s="152">
        <v>0.5506944444444445</v>
      </c>
      <c r="H23" s="5"/>
      <c r="I23" s="152">
        <v>0.7506944444444444</v>
      </c>
      <c r="J23" s="5"/>
      <c r="K23" s="6"/>
      <c r="L23" s="90">
        <f t="shared" si="1"/>
        <v>0.3451388889</v>
      </c>
      <c r="M23" s="92">
        <f t="shared" si="4"/>
        <v>0.01180555556</v>
      </c>
      <c r="N23" s="91">
        <f t="shared" si="5"/>
        <v>0</v>
      </c>
      <c r="T23" s="29"/>
      <c r="U23" s="29">
        <v>30.0</v>
      </c>
      <c r="V23" s="93" t="s">
        <v>27</v>
      </c>
      <c r="W23" s="94">
        <v>0.25763888888888886</v>
      </c>
      <c r="X23" s="93" t="s">
        <v>102</v>
      </c>
      <c r="Y23" s="13"/>
      <c r="Z23" s="13"/>
      <c r="AA23" s="13"/>
    </row>
    <row r="24">
      <c r="A24" s="149">
        <v>17.0</v>
      </c>
      <c r="B24" s="159" t="s">
        <v>21</v>
      </c>
      <c r="C24" s="150">
        <v>0.3333333333333333</v>
      </c>
      <c r="D24" s="5"/>
      <c r="E24" s="150"/>
      <c r="F24" s="5"/>
      <c r="G24" s="150"/>
      <c r="H24" s="5"/>
      <c r="I24" s="150">
        <v>0.4979166666666667</v>
      </c>
      <c r="J24" s="5"/>
      <c r="K24" s="6"/>
      <c r="L24" s="90">
        <f t="shared" si="1"/>
        <v>0.1645833333</v>
      </c>
      <c r="M24" s="91">
        <f t="shared" si="4"/>
        <v>0</v>
      </c>
      <c r="N24" s="89">
        <v>0.0</v>
      </c>
      <c r="T24" s="29"/>
      <c r="U24" s="29">
        <v>30.0</v>
      </c>
      <c r="V24" s="29"/>
      <c r="W24" s="37"/>
      <c r="X24" s="35"/>
      <c r="Y24" s="13"/>
      <c r="Z24" s="13"/>
      <c r="AA24" s="13"/>
    </row>
    <row r="25">
      <c r="A25" s="149">
        <v>18.0</v>
      </c>
      <c r="B25" s="159" t="s">
        <v>23</v>
      </c>
      <c r="C25" s="150"/>
      <c r="D25" s="5"/>
      <c r="E25" s="150"/>
      <c r="F25" s="5"/>
      <c r="G25" s="153"/>
      <c r="H25" s="5"/>
      <c r="I25" s="150"/>
      <c r="J25" s="5"/>
      <c r="K25" s="6"/>
      <c r="L25" s="90">
        <f t="shared" si="1"/>
        <v>0</v>
      </c>
      <c r="M25" s="91">
        <f t="shared" si="4"/>
        <v>0</v>
      </c>
      <c r="N25" s="90">
        <v>0.0</v>
      </c>
      <c r="T25" s="29"/>
      <c r="U25" s="29"/>
      <c r="V25" s="13"/>
      <c r="W25" s="13"/>
      <c r="X25" s="13"/>
      <c r="Y25" s="13"/>
      <c r="Z25" s="13"/>
      <c r="AA25" s="13"/>
    </row>
    <row r="26">
      <c r="A26" s="149">
        <v>19.0</v>
      </c>
      <c r="B26" s="158" t="s">
        <v>24</v>
      </c>
      <c r="C26" s="150">
        <v>0.3659722222222222</v>
      </c>
      <c r="D26" s="5"/>
      <c r="E26" s="150">
        <v>0.5020833333333333</v>
      </c>
      <c r="F26" s="5"/>
      <c r="G26" s="161" t="s">
        <v>103</v>
      </c>
      <c r="H26" s="5"/>
      <c r="I26" s="150">
        <v>0.7527777777777778</v>
      </c>
      <c r="J26" s="5"/>
      <c r="K26" s="127"/>
      <c r="L26" s="89" t="str">
        <f t="shared" si="1"/>
        <v>#VALUE!</v>
      </c>
      <c r="M26" s="91" t="str">
        <f t="shared" si="4"/>
        <v>#VALUE!</v>
      </c>
      <c r="N26" s="91" t="str">
        <f t="shared" ref="N26:N27" si="6">+IF(($M$3-L26)&gt;$M$4,$M$3-L26,0)</f>
        <v>#VALUE!</v>
      </c>
      <c r="T26" s="29"/>
      <c r="U26" s="29"/>
      <c r="V26" s="96"/>
      <c r="W26" s="29"/>
      <c r="X26" s="35"/>
      <c r="Y26" s="13"/>
      <c r="Z26" s="13"/>
      <c r="AA26" s="29"/>
    </row>
    <row r="27">
      <c r="A27" s="149">
        <v>20.0</v>
      </c>
      <c r="B27" s="159" t="s">
        <v>58</v>
      </c>
      <c r="C27" s="150">
        <v>0.3611111111111111</v>
      </c>
      <c r="D27" s="5"/>
      <c r="E27" s="150">
        <v>0.5041666666666667</v>
      </c>
      <c r="F27" s="5"/>
      <c r="G27" s="150">
        <v>0.5472222222222223</v>
      </c>
      <c r="H27" s="5"/>
      <c r="I27" s="150">
        <v>0.7506944444444444</v>
      </c>
      <c r="J27" s="5"/>
      <c r="K27" s="6"/>
      <c r="L27" s="90">
        <f t="shared" si="1"/>
        <v>0.3465277778</v>
      </c>
      <c r="M27" s="92">
        <f t="shared" si="4"/>
        <v>0.01319444444</v>
      </c>
      <c r="N27" s="91">
        <f t="shared" si="6"/>
        <v>0</v>
      </c>
      <c r="T27" s="29"/>
      <c r="U27" s="29">
        <v>30.0</v>
      </c>
      <c r="V27" s="13"/>
      <c r="W27" s="13"/>
      <c r="X27" s="13"/>
      <c r="Y27" s="13"/>
      <c r="Z27" s="13"/>
      <c r="AA27" s="13"/>
    </row>
    <row r="28">
      <c r="A28" s="149">
        <v>21.0</v>
      </c>
      <c r="B28" s="159" t="s">
        <v>18</v>
      </c>
      <c r="C28" s="150">
        <v>0.3701388888888889</v>
      </c>
      <c r="D28" s="5"/>
      <c r="E28" s="150">
        <v>0.5020833333333333</v>
      </c>
      <c r="F28" s="5"/>
      <c r="G28" s="150">
        <v>0.5506944444444445</v>
      </c>
      <c r="H28" s="5"/>
      <c r="I28" s="150">
        <v>0.7465277777777778</v>
      </c>
      <c r="J28" s="5"/>
      <c r="K28" s="6"/>
      <c r="L28" s="90">
        <f t="shared" si="1"/>
        <v>0.3277777778</v>
      </c>
      <c r="M28" s="91">
        <f t="shared" si="4"/>
        <v>0</v>
      </c>
      <c r="N28" s="90">
        <v>0.005555555555555556</v>
      </c>
      <c r="P28" s="98"/>
      <c r="T28" s="29"/>
      <c r="U28" s="39">
        <v>30.0</v>
      </c>
      <c r="V28" s="93" t="s">
        <v>27</v>
      </c>
      <c r="W28" s="94">
        <v>0.32013888888888886</v>
      </c>
      <c r="X28" s="93" t="s">
        <v>104</v>
      </c>
      <c r="Y28" s="13"/>
      <c r="Z28" s="13"/>
      <c r="AA28" s="29"/>
    </row>
    <row r="29">
      <c r="A29" s="149">
        <v>22.0</v>
      </c>
      <c r="B29" s="159" t="s">
        <v>19</v>
      </c>
      <c r="C29" s="150">
        <v>0.3680555555555556</v>
      </c>
      <c r="D29" s="5"/>
      <c r="E29" s="150">
        <v>0.5048611111111111</v>
      </c>
      <c r="F29" s="5"/>
      <c r="G29" s="150">
        <v>0.5645833333333333</v>
      </c>
      <c r="H29" s="5"/>
      <c r="I29" s="150">
        <v>0.7444444444444445</v>
      </c>
      <c r="J29" s="5"/>
      <c r="K29" s="6"/>
      <c r="L29" s="90">
        <f t="shared" si="1"/>
        <v>0.3166666667</v>
      </c>
      <c r="M29" s="91">
        <f t="shared" si="4"/>
        <v>0</v>
      </c>
      <c r="N29" s="92">
        <f t="shared" ref="N29:N30" si="7">+IF(($M$3-L29)&gt;$M$4,$M$3-L29,0)</f>
        <v>0.01666666667</v>
      </c>
      <c r="O29" s="13"/>
      <c r="P29" s="13"/>
      <c r="Q29" s="13"/>
      <c r="R29" s="13"/>
      <c r="T29" s="29"/>
      <c r="U29" s="39"/>
      <c r="V29" s="13"/>
      <c r="W29" s="13"/>
      <c r="X29" s="13"/>
      <c r="Y29" s="13"/>
      <c r="Z29" s="13"/>
      <c r="AA29" s="13"/>
    </row>
    <row r="30">
      <c r="A30" s="149">
        <v>23.0</v>
      </c>
      <c r="B30" s="158" t="s">
        <v>20</v>
      </c>
      <c r="C30" s="150">
        <v>0.3597222222222222</v>
      </c>
      <c r="D30" s="5"/>
      <c r="E30" s="150">
        <v>0.5020833333333333</v>
      </c>
      <c r="F30" s="5"/>
      <c r="G30" s="150">
        <v>0.5458333333333333</v>
      </c>
      <c r="H30" s="5"/>
      <c r="I30" s="150">
        <v>0.7604166666666666</v>
      </c>
      <c r="J30" s="5"/>
      <c r="K30" s="6"/>
      <c r="L30" s="90">
        <f t="shared" si="1"/>
        <v>0.3569444444</v>
      </c>
      <c r="M30" s="92">
        <f t="shared" si="4"/>
        <v>0.02361111111</v>
      </c>
      <c r="N30" s="91">
        <f t="shared" si="7"/>
        <v>0</v>
      </c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149">
        <v>24.0</v>
      </c>
      <c r="B31" s="159" t="s">
        <v>21</v>
      </c>
      <c r="C31" s="150">
        <v>0.3347222222222222</v>
      </c>
      <c r="D31" s="5"/>
      <c r="E31" s="150"/>
      <c r="F31" s="5"/>
      <c r="G31" s="150"/>
      <c r="H31" s="5"/>
      <c r="I31" s="150">
        <v>0.5</v>
      </c>
      <c r="J31" s="5"/>
      <c r="K31" s="6"/>
      <c r="L31" s="90">
        <f t="shared" si="1"/>
        <v>0.1652777778</v>
      </c>
      <c r="M31" s="91">
        <f t="shared" si="4"/>
        <v>0</v>
      </c>
      <c r="N31" s="89">
        <v>0.0</v>
      </c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149">
        <v>25.0</v>
      </c>
      <c r="B32" s="159" t="s">
        <v>23</v>
      </c>
      <c r="C32" s="150"/>
      <c r="D32" s="5"/>
      <c r="E32" s="150"/>
      <c r="F32" s="5"/>
      <c r="G32" s="150"/>
      <c r="H32" s="5"/>
      <c r="I32" s="150"/>
      <c r="J32" s="5"/>
      <c r="K32" s="6"/>
      <c r="L32" s="90">
        <f t="shared" si="1"/>
        <v>0</v>
      </c>
      <c r="M32" s="89">
        <v>0.0</v>
      </c>
      <c r="N32" s="89">
        <v>0.0</v>
      </c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149">
        <v>26.0</v>
      </c>
      <c r="B33" s="159" t="s">
        <v>24</v>
      </c>
      <c r="C33" s="150">
        <v>0.35138888888888886</v>
      </c>
      <c r="D33" s="5"/>
      <c r="E33" s="150">
        <v>0.5006944444444444</v>
      </c>
      <c r="F33" s="5"/>
      <c r="G33" s="150">
        <v>0.5493055555555556</v>
      </c>
      <c r="H33" s="5"/>
      <c r="I33" s="150">
        <v>0.7465277777777778</v>
      </c>
      <c r="J33" s="5"/>
      <c r="K33" s="6"/>
      <c r="L33" s="83">
        <f t="shared" si="1"/>
        <v>0.3465277778</v>
      </c>
      <c r="M33" s="83">
        <f>IF((L33-$M$3)&gt;$M$4,L33-$M$3,0)</f>
        <v>0.01319444444</v>
      </c>
      <c r="N33" s="162">
        <f>+IF(($M$3-L33)&gt;$M$4,$M$3-L33,0)</f>
        <v>0</v>
      </c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149">
        <v>27.0</v>
      </c>
      <c r="B34" s="159" t="s">
        <v>58</v>
      </c>
      <c r="C34" s="150">
        <v>0.36180555555555555</v>
      </c>
      <c r="D34" s="5"/>
      <c r="E34" s="150">
        <v>0.5055555555555555</v>
      </c>
      <c r="F34" s="5"/>
      <c r="G34" s="150">
        <v>0.5527777777777778</v>
      </c>
      <c r="H34" s="5"/>
      <c r="I34" s="150">
        <v>0.7472222222222222</v>
      </c>
      <c r="J34" s="5"/>
      <c r="K34" s="6"/>
      <c r="L34" s="90">
        <f t="shared" si="1"/>
        <v>0.3381944444</v>
      </c>
      <c r="M34" s="90">
        <v>0.004861111111111111</v>
      </c>
      <c r="N34" s="89">
        <v>0.0</v>
      </c>
      <c r="O34" s="93" t="s">
        <v>105</v>
      </c>
      <c r="P34" s="142" t="s">
        <v>106</v>
      </c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149">
        <v>28.0</v>
      </c>
      <c r="B35" s="159" t="s">
        <v>18</v>
      </c>
      <c r="C35" s="147" t="s">
        <v>107</v>
      </c>
      <c r="D35" s="15"/>
      <c r="E35" s="15"/>
      <c r="F35" s="15"/>
      <c r="G35" s="15"/>
      <c r="H35" s="15"/>
      <c r="I35" s="15"/>
      <c r="J35" s="5"/>
      <c r="L35" s="130">
        <v>0.0</v>
      </c>
      <c r="M35" s="130">
        <v>0.0</v>
      </c>
      <c r="N35" s="131"/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149">
        <v>29.0</v>
      </c>
      <c r="B36" s="159" t="s">
        <v>19</v>
      </c>
      <c r="C36" s="147" t="s">
        <v>107</v>
      </c>
      <c r="D36" s="15"/>
      <c r="E36" s="15"/>
      <c r="F36" s="15"/>
      <c r="G36" s="15"/>
      <c r="H36" s="15"/>
      <c r="I36" s="15"/>
      <c r="J36" s="5"/>
      <c r="K36" s="6"/>
      <c r="L36" s="130">
        <v>0.0</v>
      </c>
      <c r="M36" s="130">
        <v>0.0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163">
        <v>30.0</v>
      </c>
      <c r="B37" s="159" t="s">
        <v>20</v>
      </c>
      <c r="C37" s="147" t="s">
        <v>107</v>
      </c>
      <c r="D37" s="15"/>
      <c r="E37" s="15"/>
      <c r="F37" s="15"/>
      <c r="G37" s="15"/>
      <c r="H37" s="15"/>
      <c r="I37" s="15"/>
      <c r="J37" s="5"/>
      <c r="K37" s="6"/>
      <c r="L37" s="130">
        <v>0.0</v>
      </c>
      <c r="M37" s="130">
        <v>0.0</v>
      </c>
      <c r="N37" s="131" t="str">
        <f>SUM(N21:N36)</f>
        <v>#VALUE!</v>
      </c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A38" s="163">
        <v>31.0</v>
      </c>
      <c r="B38" s="159" t="s">
        <v>21</v>
      </c>
      <c r="C38" s="147" t="s">
        <v>63</v>
      </c>
      <c r="D38" s="15"/>
      <c r="E38" s="15"/>
      <c r="F38" s="15"/>
      <c r="G38" s="15"/>
      <c r="H38" s="15"/>
      <c r="I38" s="15"/>
      <c r="J38" s="5"/>
      <c r="K38" s="6"/>
      <c r="L38" s="104"/>
      <c r="M38" s="104" t="str">
        <f>SUM(M8:M37)</f>
        <v>#VALUE!</v>
      </c>
      <c r="N38" s="82">
        <v>0.0</v>
      </c>
      <c r="O38" s="29"/>
      <c r="P38" s="13"/>
      <c r="Q38" s="13"/>
      <c r="R38" s="13"/>
    </row>
    <row r="39">
      <c r="A39" s="107" t="s">
        <v>108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P39" s="13"/>
      <c r="Q39" s="13"/>
      <c r="R39" s="13"/>
    </row>
    <row r="40">
      <c r="A40" s="107" t="s">
        <v>109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M40" s="35"/>
    </row>
    <row r="41">
      <c r="A41" s="132" t="s">
        <v>110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  <c r="L42" s="31" t="s">
        <v>56</v>
      </c>
    </row>
    <row r="43">
      <c r="A43" s="136"/>
      <c r="B43" s="137"/>
      <c r="C43" s="137"/>
      <c r="D43" s="137"/>
      <c r="F43" s="137"/>
      <c r="H43" s="137"/>
      <c r="I43" s="137"/>
      <c r="J43" s="138"/>
      <c r="K43" s="6"/>
      <c r="L43" s="98" t="s">
        <v>57</v>
      </c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  <row r="50">
      <c r="L50" s="141"/>
    </row>
  </sheetData>
  <mergeCells count="124">
    <mergeCell ref="C15:D15"/>
    <mergeCell ref="E15:F15"/>
    <mergeCell ref="G15:H15"/>
    <mergeCell ref="I15:J15"/>
    <mergeCell ref="E16:F16"/>
    <mergeCell ref="G16:H16"/>
    <mergeCell ref="I16:J16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J8"/>
    <mergeCell ref="C9:J9"/>
    <mergeCell ref="C10:J10"/>
    <mergeCell ref="C11:J11"/>
    <mergeCell ref="E12:F12"/>
    <mergeCell ref="G12:H12"/>
    <mergeCell ref="I12:J12"/>
    <mergeCell ref="G14:H14"/>
    <mergeCell ref="I14:J14"/>
    <mergeCell ref="C12:D12"/>
    <mergeCell ref="C13:D13"/>
    <mergeCell ref="E13:F13"/>
    <mergeCell ref="G13:H13"/>
    <mergeCell ref="I13:J13"/>
    <mergeCell ref="C14:D14"/>
    <mergeCell ref="E14:F14"/>
    <mergeCell ref="G18:H18"/>
    <mergeCell ref="I18:J18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G34:H34"/>
    <mergeCell ref="I34:J34"/>
    <mergeCell ref="C35:J35"/>
    <mergeCell ref="C36:J36"/>
    <mergeCell ref="C37:J37"/>
    <mergeCell ref="C38:J38"/>
    <mergeCell ref="A39:J39"/>
    <mergeCell ref="A40:J40"/>
    <mergeCell ref="A41:J41"/>
    <mergeCell ref="F42:G42"/>
    <mergeCell ref="D43:E43"/>
    <mergeCell ref="F43:G43"/>
    <mergeCell ref="D44:E44"/>
    <mergeCell ref="F44:G44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D45:E45"/>
    <mergeCell ref="F45:G45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" t="s">
        <v>0</v>
      </c>
      <c r="B1" s="2"/>
      <c r="C1" s="1" t="s">
        <v>1</v>
      </c>
      <c r="D1" s="3"/>
      <c r="E1" s="3"/>
      <c r="F1" s="3"/>
      <c r="G1" s="3"/>
      <c r="H1" s="2"/>
      <c r="I1" s="4" t="s">
        <v>2</v>
      </c>
      <c r="J1" s="5"/>
      <c r="K1" s="6"/>
    </row>
    <row r="2">
      <c r="A2" s="7"/>
      <c r="B2" s="8"/>
      <c r="C2" s="7"/>
      <c r="H2" s="8"/>
      <c r="I2" s="4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4" t="s">
        <v>4</v>
      </c>
      <c r="J3" s="5"/>
      <c r="K3" s="12"/>
      <c r="L3" s="13"/>
      <c r="M3" s="13"/>
      <c r="N3" s="13"/>
      <c r="O3" s="13"/>
      <c r="P3" s="13"/>
    </row>
    <row r="4">
      <c r="A4" s="14" t="s">
        <v>5</v>
      </c>
      <c r="B4" s="4" t="s">
        <v>6</v>
      </c>
      <c r="C4" s="15"/>
      <c r="D4" s="15"/>
      <c r="E4" s="15"/>
      <c r="F4" s="5"/>
      <c r="G4" s="16"/>
      <c r="H4" s="5"/>
      <c r="I4" s="17"/>
      <c r="J4" s="17"/>
      <c r="K4" s="12"/>
      <c r="L4" s="13"/>
      <c r="M4" s="13"/>
      <c r="N4" s="13"/>
      <c r="O4" s="13"/>
      <c r="P4" s="13"/>
    </row>
    <row r="5">
      <c r="A5" s="18" t="s">
        <v>7</v>
      </c>
      <c r="B5" s="19" t="s">
        <v>8</v>
      </c>
      <c r="C5" s="15"/>
      <c r="D5" s="15"/>
      <c r="E5" s="5"/>
      <c r="F5" s="20" t="s">
        <v>9</v>
      </c>
      <c r="G5" s="21"/>
      <c r="H5" s="22"/>
      <c r="I5" s="22"/>
      <c r="J5" s="22"/>
      <c r="K5" s="12"/>
      <c r="L5" s="13"/>
      <c r="M5" s="13"/>
      <c r="N5" s="13"/>
      <c r="O5" s="13"/>
      <c r="P5" s="13"/>
    </row>
    <row r="6">
      <c r="A6" s="14" t="s">
        <v>10</v>
      </c>
      <c r="B6" s="19" t="s">
        <v>99</v>
      </c>
      <c r="C6" s="15"/>
      <c r="D6" s="15"/>
      <c r="E6" s="5"/>
      <c r="F6" s="23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24" t="s">
        <v>13</v>
      </c>
      <c r="B7" s="5"/>
      <c r="C7" s="24" t="s">
        <v>14</v>
      </c>
      <c r="D7" s="5"/>
      <c r="E7" s="25" t="s">
        <v>15</v>
      </c>
      <c r="F7" s="24" t="s">
        <v>16</v>
      </c>
      <c r="G7" s="5"/>
      <c r="H7" s="26" t="s">
        <v>17</v>
      </c>
      <c r="I7" s="24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25">
        <v>1.0</v>
      </c>
      <c r="B8" s="27" t="s">
        <v>19</v>
      </c>
      <c r="C8" s="88" t="s">
        <v>78</v>
      </c>
      <c r="D8" s="15"/>
      <c r="E8" s="15"/>
      <c r="F8" s="15"/>
      <c r="G8" s="15"/>
      <c r="H8" s="15"/>
      <c r="I8" s="15"/>
      <c r="J8" s="5"/>
      <c r="K8" s="12"/>
      <c r="L8" s="29"/>
      <c r="M8" s="13"/>
      <c r="N8" s="13"/>
      <c r="O8" s="13"/>
      <c r="P8" s="13"/>
      <c r="Q8" s="13"/>
      <c r="R8" s="13"/>
      <c r="S8" s="13"/>
    </row>
    <row r="9">
      <c r="A9" s="30">
        <v>2.0</v>
      </c>
      <c r="B9" s="27" t="s">
        <v>20</v>
      </c>
      <c r="C9" s="88" t="s">
        <v>111</v>
      </c>
      <c r="D9" s="15"/>
      <c r="E9" s="15"/>
      <c r="F9" s="15"/>
      <c r="G9" s="15"/>
      <c r="H9" s="15"/>
      <c r="I9" s="15"/>
      <c r="J9" s="5"/>
      <c r="K9" s="12"/>
      <c r="L9" s="29"/>
      <c r="M9" s="31"/>
      <c r="N9" s="13"/>
      <c r="O9" s="13"/>
      <c r="P9" s="13"/>
      <c r="Q9" s="13"/>
      <c r="R9" s="13"/>
      <c r="S9" s="13"/>
    </row>
    <row r="10">
      <c r="A10" s="30">
        <v>3.0</v>
      </c>
      <c r="B10" s="32" t="s">
        <v>21</v>
      </c>
      <c r="C10" s="88" t="s">
        <v>111</v>
      </c>
      <c r="D10" s="15"/>
      <c r="E10" s="15"/>
      <c r="F10" s="15"/>
      <c r="G10" s="15"/>
      <c r="H10" s="15"/>
      <c r="I10" s="15"/>
      <c r="J10" s="5"/>
      <c r="K10" s="12"/>
      <c r="L10" s="29"/>
      <c r="M10" s="31"/>
      <c r="N10" s="13"/>
      <c r="O10" s="13"/>
      <c r="P10" s="13"/>
      <c r="Q10" s="13"/>
      <c r="R10" s="13"/>
      <c r="S10" s="13"/>
    </row>
    <row r="11">
      <c r="A11" s="30">
        <v>4.0</v>
      </c>
      <c r="B11" s="33" t="s">
        <v>23</v>
      </c>
      <c r="C11" s="36"/>
      <c r="D11" s="5"/>
      <c r="E11" s="36"/>
      <c r="F11" s="5"/>
      <c r="G11" s="36"/>
      <c r="H11" s="5"/>
      <c r="I11" s="36"/>
      <c r="J11" s="5"/>
      <c r="K11" s="12"/>
      <c r="L11" s="29"/>
      <c r="M11" s="13"/>
      <c r="N11" s="13"/>
      <c r="O11" s="13"/>
      <c r="P11" s="13"/>
      <c r="Q11" s="13"/>
      <c r="R11" s="13"/>
      <c r="S11" s="13"/>
    </row>
    <row r="12">
      <c r="A12" s="30">
        <v>5.0</v>
      </c>
      <c r="B12" s="27" t="s">
        <v>24</v>
      </c>
      <c r="C12" s="28">
        <v>0.35208333333333336</v>
      </c>
      <c r="D12" s="5"/>
      <c r="E12" s="28">
        <v>0.5631944444444444</v>
      </c>
      <c r="F12" s="5"/>
      <c r="G12" s="28">
        <v>0.6083333333333333</v>
      </c>
      <c r="H12" s="5"/>
      <c r="I12" s="28">
        <v>0.7527777777777778</v>
      </c>
      <c r="J12" s="5"/>
      <c r="K12" s="12"/>
      <c r="L12" s="29">
        <v>7.0</v>
      </c>
      <c r="M12" s="13"/>
      <c r="N12" s="29"/>
      <c r="O12" s="35"/>
      <c r="P12" s="29"/>
      <c r="Q12" s="13"/>
      <c r="R12" s="13"/>
      <c r="S12" s="13"/>
    </row>
    <row r="13">
      <c r="A13" s="30">
        <v>6.0</v>
      </c>
      <c r="B13" s="32" t="s">
        <v>58</v>
      </c>
      <c r="C13" s="28">
        <v>0.34930555555555554</v>
      </c>
      <c r="D13" s="5"/>
      <c r="E13" s="28">
        <v>0.5944444444444444</v>
      </c>
      <c r="F13" s="5"/>
      <c r="G13" s="28">
        <v>0.6381944444444444</v>
      </c>
      <c r="H13" s="5"/>
      <c r="I13" s="28">
        <v>0.7604166666666666</v>
      </c>
      <c r="J13" s="5"/>
      <c r="K13" s="12"/>
      <c r="L13" s="29">
        <v>24.0</v>
      </c>
      <c r="M13" s="29"/>
      <c r="N13" s="29"/>
      <c r="O13" s="29"/>
      <c r="P13" s="13"/>
      <c r="Q13" s="13"/>
      <c r="R13" s="13"/>
      <c r="S13" s="13"/>
    </row>
    <row r="14">
      <c r="A14" s="30">
        <v>7.0</v>
      </c>
      <c r="B14" s="33" t="s">
        <v>18</v>
      </c>
      <c r="C14" s="36">
        <v>0.34930555555555554</v>
      </c>
      <c r="D14" s="5"/>
      <c r="E14" s="36">
        <v>0.5590277777777778</v>
      </c>
      <c r="F14" s="5"/>
      <c r="G14" s="36">
        <v>0.6083333333333333</v>
      </c>
      <c r="H14" s="5"/>
      <c r="I14" s="36">
        <v>0.7479166666666667</v>
      </c>
      <c r="J14" s="5"/>
      <c r="K14" s="12"/>
      <c r="L14" s="29">
        <v>0.0</v>
      </c>
      <c r="M14" s="13"/>
      <c r="N14" s="31"/>
      <c r="O14" s="35"/>
      <c r="P14" s="13"/>
      <c r="Q14" s="13"/>
      <c r="R14" s="13"/>
      <c r="S14" s="29"/>
    </row>
    <row r="15">
      <c r="A15" s="30">
        <v>8.0</v>
      </c>
      <c r="B15" s="33" t="s">
        <v>19</v>
      </c>
      <c r="C15" s="36">
        <v>0.34930555555555554</v>
      </c>
      <c r="D15" s="5"/>
      <c r="E15" s="28">
        <v>0.5618055555555556</v>
      </c>
      <c r="F15" s="5"/>
      <c r="G15" s="28">
        <v>0.6104166666666667</v>
      </c>
      <c r="H15" s="5"/>
      <c r="I15" s="28">
        <v>0.7486111111111111</v>
      </c>
      <c r="J15" s="5"/>
      <c r="K15" s="38"/>
      <c r="L15" s="29">
        <v>0.0</v>
      </c>
      <c r="M15" s="13"/>
      <c r="N15" s="29"/>
      <c r="O15" s="35"/>
      <c r="P15" s="29"/>
      <c r="Q15" s="13"/>
      <c r="R15" s="13"/>
      <c r="S15" s="13"/>
    </row>
    <row r="16">
      <c r="A16" s="30">
        <v>9.0</v>
      </c>
      <c r="B16" s="27" t="s">
        <v>20</v>
      </c>
      <c r="C16" s="28">
        <v>0.3486111111111111</v>
      </c>
      <c r="D16" s="5"/>
      <c r="E16" s="28">
        <v>0.55</v>
      </c>
      <c r="F16" s="5"/>
      <c r="G16" s="28">
        <v>0.5972222222222222</v>
      </c>
      <c r="H16" s="5"/>
      <c r="I16" s="28">
        <v>0.7527777777777778</v>
      </c>
      <c r="J16" s="5"/>
      <c r="K16" s="12"/>
      <c r="L16" s="29">
        <v>9.0</v>
      </c>
      <c r="M16" s="13"/>
      <c r="N16" s="29"/>
      <c r="O16" s="35"/>
      <c r="P16" s="29"/>
      <c r="Q16" s="13"/>
      <c r="R16" s="13"/>
      <c r="S16" s="13"/>
    </row>
    <row r="17">
      <c r="A17" s="30">
        <v>10.0</v>
      </c>
      <c r="B17" s="32" t="s">
        <v>21</v>
      </c>
      <c r="C17" s="36">
        <v>0.3284722222222222</v>
      </c>
      <c r="D17" s="5"/>
      <c r="E17" s="36"/>
      <c r="F17" s="5"/>
      <c r="G17" s="36"/>
      <c r="H17" s="5"/>
      <c r="I17" s="36">
        <v>0.5083333333333333</v>
      </c>
      <c r="J17" s="5"/>
      <c r="K17" s="12"/>
      <c r="L17" s="29">
        <v>19.0</v>
      </c>
      <c r="M17" s="29"/>
      <c r="N17" s="31"/>
      <c r="O17" s="35"/>
      <c r="P17" s="13"/>
      <c r="Q17" s="13"/>
      <c r="R17" s="13"/>
      <c r="S17" s="13"/>
    </row>
    <row r="18">
      <c r="A18" s="30">
        <v>11.0</v>
      </c>
      <c r="B18" s="33" t="s">
        <v>23</v>
      </c>
      <c r="C18" s="28"/>
      <c r="D18" s="5"/>
      <c r="E18" s="28"/>
      <c r="F18" s="5"/>
      <c r="G18" s="28"/>
      <c r="H18" s="5"/>
      <c r="I18" s="28"/>
      <c r="J18" s="5"/>
      <c r="K18" s="12"/>
      <c r="M18" s="13"/>
      <c r="N18" s="29"/>
      <c r="O18" s="35"/>
      <c r="P18" s="29"/>
      <c r="Q18" s="13"/>
      <c r="R18" s="13"/>
      <c r="S18" s="13"/>
    </row>
    <row r="19">
      <c r="A19" s="30">
        <v>12.0</v>
      </c>
      <c r="B19" s="27" t="s">
        <v>24</v>
      </c>
      <c r="C19" s="28">
        <v>0.3486111111111111</v>
      </c>
      <c r="D19" s="5"/>
      <c r="E19" s="28">
        <v>0.5506944444444445</v>
      </c>
      <c r="F19" s="5"/>
      <c r="G19" s="28">
        <v>0.5993055555555555</v>
      </c>
      <c r="H19" s="5"/>
      <c r="I19" s="28">
        <v>0.7493055555555556</v>
      </c>
      <c r="J19" s="5"/>
      <c r="K19" s="12"/>
      <c r="L19" s="39">
        <v>0.0</v>
      </c>
      <c r="M19" s="29"/>
      <c r="N19" s="31"/>
      <c r="O19" s="35"/>
      <c r="P19" s="13"/>
      <c r="Q19" s="13"/>
      <c r="R19" s="13"/>
      <c r="S19" s="13"/>
    </row>
    <row r="20">
      <c r="A20" s="30">
        <v>13.0</v>
      </c>
      <c r="B20" s="32" t="s">
        <v>58</v>
      </c>
      <c r="C20" s="36">
        <v>0.34930555555555554</v>
      </c>
      <c r="D20" s="5"/>
      <c r="E20" s="36">
        <v>0.5506944444444445</v>
      </c>
      <c r="F20" s="5"/>
      <c r="G20" s="36">
        <v>0.5930555555555556</v>
      </c>
      <c r="H20" s="5"/>
      <c r="I20" s="36">
        <v>0.7458333333333333</v>
      </c>
      <c r="J20" s="5"/>
      <c r="K20" s="12"/>
      <c r="L20" s="29">
        <v>0.0</v>
      </c>
      <c r="M20" s="13"/>
      <c r="N20" s="31"/>
      <c r="O20" s="35"/>
      <c r="P20" s="29"/>
      <c r="Q20" s="13"/>
      <c r="R20" s="13"/>
      <c r="S20" s="29"/>
    </row>
    <row r="21">
      <c r="A21" s="30">
        <v>14.0</v>
      </c>
      <c r="B21" s="33" t="s">
        <v>18</v>
      </c>
      <c r="C21" s="36">
        <v>0.34930555555555554</v>
      </c>
      <c r="D21" s="5"/>
      <c r="E21" s="36">
        <v>0.5097222222222222</v>
      </c>
      <c r="F21" s="5"/>
      <c r="G21" s="36">
        <v>0.5520833333333334</v>
      </c>
      <c r="H21" s="5"/>
      <c r="I21" s="36">
        <v>0.7430555555555556</v>
      </c>
      <c r="J21" s="5"/>
      <c r="K21" s="12"/>
      <c r="L21" s="29">
        <v>0.0</v>
      </c>
      <c r="M21" s="13"/>
      <c r="N21" s="29"/>
      <c r="O21" s="35"/>
      <c r="P21" s="13"/>
      <c r="Q21" s="13"/>
      <c r="R21" s="13"/>
      <c r="S21" s="29"/>
    </row>
    <row r="22">
      <c r="A22" s="30">
        <v>15.0</v>
      </c>
      <c r="B22" s="33" t="s">
        <v>19</v>
      </c>
      <c r="C22" s="36">
        <v>0.35138888888888886</v>
      </c>
      <c r="D22" s="5"/>
      <c r="E22" s="36">
        <v>0.5506944444444445</v>
      </c>
      <c r="F22" s="5"/>
      <c r="G22" s="36">
        <v>0.5972222222222222</v>
      </c>
      <c r="H22" s="5"/>
      <c r="I22" s="36">
        <v>0.7458333333333333</v>
      </c>
      <c r="J22" s="5"/>
      <c r="K22" s="12"/>
      <c r="L22" s="29">
        <v>0.0</v>
      </c>
      <c r="M22" s="29"/>
      <c r="N22" s="31"/>
      <c r="O22" s="29"/>
      <c r="P22" s="13"/>
      <c r="Q22" s="13"/>
      <c r="R22" s="13"/>
      <c r="S22" s="13"/>
    </row>
    <row r="23">
      <c r="A23" s="30">
        <v>16.0</v>
      </c>
      <c r="B23" s="32" t="s">
        <v>20</v>
      </c>
      <c r="C23" s="36">
        <v>0.3506944444444444</v>
      </c>
      <c r="D23" s="5"/>
      <c r="E23" s="36">
        <v>0.5534722222222223</v>
      </c>
      <c r="F23" s="5"/>
      <c r="G23" s="36">
        <v>0.6020833333333333</v>
      </c>
      <c r="H23" s="5"/>
      <c r="I23" s="36">
        <v>0.7506944444444444</v>
      </c>
      <c r="J23" s="5"/>
      <c r="K23" s="12"/>
      <c r="L23" s="29">
        <v>0.0</v>
      </c>
      <c r="M23" s="13"/>
      <c r="N23" s="29"/>
      <c r="O23" s="35"/>
      <c r="P23" s="13"/>
      <c r="Q23" s="13"/>
      <c r="R23" s="13"/>
      <c r="S23" s="29"/>
    </row>
    <row r="24">
      <c r="A24" s="30">
        <v>17.0</v>
      </c>
      <c r="B24" s="33" t="s">
        <v>21</v>
      </c>
      <c r="C24" s="36">
        <v>0.33541666666666664</v>
      </c>
      <c r="D24" s="5"/>
      <c r="E24" s="36"/>
      <c r="F24" s="5"/>
      <c r="G24" s="36"/>
      <c r="H24" s="5"/>
      <c r="I24" s="36">
        <v>0.4979166666666667</v>
      </c>
      <c r="J24" s="5"/>
      <c r="K24" s="12"/>
      <c r="L24" s="29">
        <v>0.0</v>
      </c>
      <c r="M24" s="13"/>
      <c r="O24" s="35"/>
      <c r="P24" s="29"/>
      <c r="Q24" s="13"/>
      <c r="R24" s="13"/>
      <c r="S24" s="13"/>
    </row>
    <row r="25">
      <c r="A25" s="30">
        <v>18.0</v>
      </c>
      <c r="B25" s="33" t="s">
        <v>23</v>
      </c>
      <c r="C25" s="36"/>
      <c r="D25" s="5"/>
      <c r="E25" s="28"/>
      <c r="F25" s="5"/>
      <c r="G25" s="28"/>
      <c r="H25" s="5"/>
      <c r="I25" s="28"/>
      <c r="J25" s="5"/>
      <c r="K25" s="12"/>
      <c r="L25" s="29"/>
      <c r="M25" s="13"/>
      <c r="N25" s="31"/>
      <c r="O25" s="35"/>
      <c r="P25" s="29"/>
      <c r="Q25" s="13"/>
      <c r="R25" s="13"/>
      <c r="S25" s="13"/>
    </row>
    <row r="26">
      <c r="A26" s="30">
        <v>19.0</v>
      </c>
      <c r="B26" s="32" t="s">
        <v>24</v>
      </c>
      <c r="C26" s="28">
        <v>0.35347222222222224</v>
      </c>
      <c r="D26" s="5"/>
      <c r="E26" s="28">
        <v>0.5743055555555555</v>
      </c>
      <c r="F26" s="5"/>
      <c r="G26" s="28">
        <v>0.6201388888888889</v>
      </c>
      <c r="H26" s="5"/>
      <c r="I26" s="28">
        <v>0.7520833333333333</v>
      </c>
      <c r="J26" s="5"/>
      <c r="K26" s="40"/>
      <c r="L26" s="29">
        <v>0.0</v>
      </c>
      <c r="M26" s="29"/>
      <c r="N26" s="29"/>
      <c r="O26" s="35"/>
      <c r="P26" s="29"/>
      <c r="Q26" s="13"/>
      <c r="R26" s="13"/>
      <c r="S26" s="31"/>
    </row>
    <row r="27">
      <c r="A27" s="30">
        <v>20.0</v>
      </c>
      <c r="B27" s="33" t="s">
        <v>58</v>
      </c>
      <c r="C27" s="36">
        <v>0.35</v>
      </c>
      <c r="D27" s="5"/>
      <c r="E27" s="36">
        <v>0.55</v>
      </c>
      <c r="F27" s="5"/>
      <c r="G27" s="36">
        <v>0.5965277777777778</v>
      </c>
      <c r="H27" s="5"/>
      <c r="I27" s="36">
        <v>0.7506944444444444</v>
      </c>
      <c r="J27" s="5"/>
      <c r="K27" s="12"/>
      <c r="L27" s="29">
        <v>0.0</v>
      </c>
      <c r="M27" s="13"/>
      <c r="N27" s="13"/>
      <c r="O27" s="13"/>
      <c r="P27" s="13"/>
      <c r="Q27" s="13"/>
      <c r="R27" s="13"/>
      <c r="S27" s="13"/>
    </row>
    <row r="28">
      <c r="A28" s="30">
        <v>21.0</v>
      </c>
      <c r="B28" s="33" t="s">
        <v>18</v>
      </c>
      <c r="C28" s="28">
        <v>0.35138888888888886</v>
      </c>
      <c r="D28" s="5"/>
      <c r="E28" s="28">
        <v>0.5506944444444445</v>
      </c>
      <c r="F28" s="5"/>
      <c r="G28" s="28">
        <v>0.5930555555555556</v>
      </c>
      <c r="H28" s="5"/>
      <c r="I28" s="28">
        <v>0.7458333333333333</v>
      </c>
      <c r="J28" s="5"/>
      <c r="K28" s="12"/>
      <c r="L28" s="29">
        <v>0.0</v>
      </c>
      <c r="M28" s="29"/>
      <c r="N28" s="29"/>
      <c r="O28" s="35"/>
      <c r="P28" s="13"/>
      <c r="Q28" s="13"/>
      <c r="R28" s="13"/>
      <c r="S28" s="29"/>
    </row>
    <row r="29">
      <c r="A29" s="30">
        <v>22.0</v>
      </c>
      <c r="B29" s="33" t="s">
        <v>19</v>
      </c>
      <c r="C29" s="28">
        <v>0.35555555555555557</v>
      </c>
      <c r="D29" s="5"/>
      <c r="E29" s="28">
        <v>0.5659722222222222</v>
      </c>
      <c r="F29" s="5"/>
      <c r="G29" s="28">
        <v>0.6145833333333334</v>
      </c>
      <c r="H29" s="5"/>
      <c r="I29" s="28">
        <v>0.74375</v>
      </c>
      <c r="J29" s="5"/>
      <c r="K29" s="12"/>
      <c r="L29" s="29"/>
      <c r="M29" s="13"/>
      <c r="N29" s="29"/>
      <c r="O29" s="35"/>
      <c r="P29" s="13"/>
      <c r="Q29" s="13"/>
      <c r="R29" s="13"/>
      <c r="S29" s="29"/>
    </row>
    <row r="30">
      <c r="A30" s="30">
        <v>23.0</v>
      </c>
      <c r="B30" s="32" t="s">
        <v>20</v>
      </c>
      <c r="C30" s="36">
        <v>0.3541666666666667</v>
      </c>
      <c r="D30" s="5"/>
      <c r="E30" s="36">
        <v>0.5493055555555556</v>
      </c>
      <c r="F30" s="5"/>
      <c r="G30" s="36">
        <v>0.5972222222222222</v>
      </c>
      <c r="H30" s="5"/>
      <c r="I30" s="36">
        <v>0.7604166666666666</v>
      </c>
      <c r="J30" s="5"/>
      <c r="K30" s="12"/>
      <c r="L30" s="29">
        <v>11.0</v>
      </c>
      <c r="M30" s="13"/>
      <c r="Q30" s="13"/>
      <c r="R30" s="13"/>
      <c r="S30" s="13"/>
    </row>
    <row r="31">
      <c r="A31" s="30">
        <v>24.0</v>
      </c>
      <c r="B31" s="33" t="s">
        <v>21</v>
      </c>
      <c r="C31" s="36"/>
      <c r="D31" s="5"/>
      <c r="E31" s="36"/>
      <c r="F31" s="5"/>
      <c r="G31" s="36"/>
      <c r="H31" s="5"/>
      <c r="I31" s="36"/>
      <c r="J31" s="5"/>
      <c r="K31" s="12"/>
      <c r="L31" s="29"/>
      <c r="M31" s="13"/>
      <c r="N31" s="13"/>
      <c r="O31" s="13"/>
      <c r="P31" s="13"/>
      <c r="Q31" s="13"/>
      <c r="R31" s="13"/>
      <c r="S31" s="13"/>
    </row>
    <row r="32">
      <c r="A32" s="30">
        <v>25.0</v>
      </c>
      <c r="B32" s="33" t="s">
        <v>23</v>
      </c>
      <c r="C32" s="36"/>
      <c r="D32" s="5"/>
      <c r="E32" s="36"/>
      <c r="F32" s="5"/>
      <c r="G32" s="36"/>
      <c r="H32" s="5"/>
      <c r="I32" s="36"/>
      <c r="J32" s="5"/>
      <c r="K32" s="12"/>
      <c r="M32" s="13"/>
      <c r="N32" s="29"/>
      <c r="O32" s="29"/>
      <c r="P32" s="29"/>
      <c r="Q32" s="13"/>
      <c r="R32" s="13"/>
      <c r="S32" s="13"/>
    </row>
    <row r="33">
      <c r="A33" s="30">
        <v>26.0</v>
      </c>
      <c r="B33" s="33" t="s">
        <v>24</v>
      </c>
      <c r="C33" s="36">
        <v>0.34375</v>
      </c>
      <c r="D33" s="5"/>
      <c r="E33" s="36">
        <v>0.5576388888888889</v>
      </c>
      <c r="F33" s="5"/>
      <c r="G33" s="36">
        <v>0.6013888888888889</v>
      </c>
      <c r="H33" s="5"/>
      <c r="I33" s="36">
        <v>0.7451388888888889</v>
      </c>
      <c r="J33" s="5"/>
      <c r="K33" s="12"/>
      <c r="L33" s="29">
        <v>11.0</v>
      </c>
      <c r="M33" s="29"/>
      <c r="N33" s="31"/>
      <c r="O33" s="35"/>
      <c r="P33" s="29"/>
      <c r="Q33" s="13"/>
      <c r="R33" s="13"/>
      <c r="S33" s="13"/>
    </row>
    <row r="34">
      <c r="A34" s="30">
        <v>27.0</v>
      </c>
      <c r="B34" s="33" t="s">
        <v>58</v>
      </c>
      <c r="C34" s="36">
        <v>0.34930555555555554</v>
      </c>
      <c r="D34" s="5"/>
      <c r="E34" s="36">
        <v>0.5534722222222223</v>
      </c>
      <c r="F34" s="5"/>
      <c r="G34" s="36">
        <v>0.5930555555555556</v>
      </c>
      <c r="H34" s="5"/>
      <c r="I34" s="36">
        <v>0.7472222222222222</v>
      </c>
      <c r="J34" s="5"/>
      <c r="K34" s="12"/>
      <c r="L34" s="29">
        <v>11.0</v>
      </c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30">
        <v>28.0</v>
      </c>
      <c r="B35" s="33" t="s">
        <v>18</v>
      </c>
      <c r="C35" s="36">
        <v>0.3486111111111111</v>
      </c>
      <c r="D35" s="5"/>
      <c r="E35" s="28">
        <v>0.5583333333333333</v>
      </c>
      <c r="F35" s="5"/>
      <c r="G35" s="28">
        <v>0.6027777777777777</v>
      </c>
      <c r="H35" s="5"/>
      <c r="I35" s="28">
        <v>0.7618055555555555</v>
      </c>
      <c r="J35" s="5"/>
      <c r="K35" s="13"/>
      <c r="L35" s="29">
        <v>26.0</v>
      </c>
      <c r="M35" s="46"/>
      <c r="N35" s="31"/>
      <c r="O35" s="35"/>
      <c r="P35" s="29"/>
      <c r="Q35" s="13"/>
      <c r="R35" s="13"/>
      <c r="S35" s="29"/>
      <c r="T35" s="13"/>
      <c r="U35" s="13"/>
      <c r="V35" s="13"/>
    </row>
    <row r="36">
      <c r="A36" s="30">
        <v>29.0</v>
      </c>
      <c r="B36" s="33" t="s">
        <v>19</v>
      </c>
      <c r="C36" s="28">
        <v>0.35</v>
      </c>
      <c r="D36" s="5"/>
      <c r="E36" s="28">
        <v>0.5583333333333333</v>
      </c>
      <c r="F36" s="5"/>
      <c r="G36" s="28">
        <v>0.6027777777777777</v>
      </c>
      <c r="H36" s="5"/>
      <c r="I36" s="28">
        <v>0.7472222222222222</v>
      </c>
      <c r="J36" s="5"/>
      <c r="K36" s="12"/>
      <c r="L36" s="29">
        <v>0.0</v>
      </c>
      <c r="M36" s="29"/>
      <c r="N36" s="93" t="s">
        <v>105</v>
      </c>
      <c r="O36" s="35">
        <v>0.04861111111111111</v>
      </c>
      <c r="P36" s="29">
        <v>-16.0</v>
      </c>
      <c r="Q36" s="164" t="s">
        <v>106</v>
      </c>
      <c r="R36" s="165"/>
      <c r="S36" s="165"/>
    </row>
    <row r="37">
      <c r="A37" s="30">
        <v>30.0</v>
      </c>
      <c r="B37" s="33" t="s">
        <v>20</v>
      </c>
      <c r="C37" s="36">
        <v>0.35</v>
      </c>
      <c r="D37" s="5"/>
      <c r="E37" s="36">
        <v>0.5569444444444445</v>
      </c>
      <c r="F37" s="5"/>
      <c r="G37" s="36">
        <v>0.6048611111111111</v>
      </c>
      <c r="H37" s="5"/>
      <c r="I37" s="36">
        <v>0.7451388888888889</v>
      </c>
      <c r="J37" s="5"/>
      <c r="K37" s="12"/>
      <c r="L37" s="29">
        <v>0.0</v>
      </c>
      <c r="M37" s="13"/>
      <c r="N37" s="29" t="s">
        <v>105</v>
      </c>
      <c r="O37" s="35">
        <v>0.04861111111111111</v>
      </c>
      <c r="P37" s="29">
        <v>-16.0</v>
      </c>
      <c r="Q37" s="13"/>
      <c r="R37" s="13"/>
      <c r="S37" s="13"/>
    </row>
    <row r="38">
      <c r="A38" s="30">
        <v>31.0</v>
      </c>
      <c r="B38" s="33" t="s">
        <v>21</v>
      </c>
      <c r="C38" s="36"/>
      <c r="D38" s="5"/>
      <c r="E38" s="36"/>
      <c r="F38" s="5"/>
      <c r="G38" s="36"/>
      <c r="H38" s="5"/>
      <c r="I38" s="36"/>
      <c r="J38" s="5"/>
      <c r="K38" s="6"/>
      <c r="L38" s="35"/>
      <c r="M38" s="13"/>
      <c r="N38" s="35"/>
      <c r="O38" s="13"/>
      <c r="P38" s="13"/>
      <c r="Q38" s="13"/>
      <c r="R38" s="13"/>
      <c r="S38" s="13"/>
    </row>
    <row r="39">
      <c r="A39" s="47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31"/>
      <c r="O39" s="13"/>
      <c r="P39" s="13"/>
      <c r="Q39" s="13"/>
      <c r="R39" s="13"/>
      <c r="S39" s="13"/>
    </row>
    <row r="40">
      <c r="A40" s="48" t="s">
        <v>112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13"/>
      <c r="Q40" s="13"/>
      <c r="R40" s="13"/>
      <c r="S40" s="13"/>
    </row>
    <row r="41">
      <c r="A41" s="49" t="s">
        <v>113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13"/>
      <c r="Q41" s="13"/>
      <c r="R41" s="13"/>
      <c r="S41" s="13"/>
    </row>
    <row r="42">
      <c r="A42" s="50" t="s">
        <v>114</v>
      </c>
      <c r="B42" s="3"/>
      <c r="C42" s="3"/>
      <c r="D42" s="3"/>
      <c r="E42" s="3"/>
      <c r="F42" s="3"/>
      <c r="G42" s="3"/>
      <c r="H42" s="3"/>
      <c r="I42" s="3"/>
      <c r="J42" s="2"/>
      <c r="K42" s="6"/>
      <c r="M42" s="13"/>
      <c r="N42" s="13"/>
      <c r="O42" s="13"/>
      <c r="P42" s="13"/>
      <c r="Q42" s="13"/>
      <c r="R42" s="13"/>
      <c r="S42" s="13"/>
    </row>
    <row r="43">
      <c r="A43" s="51" t="s">
        <v>35</v>
      </c>
      <c r="B43" s="52"/>
      <c r="C43" s="52"/>
      <c r="D43" s="52"/>
      <c r="E43" s="52"/>
      <c r="F43" s="52"/>
      <c r="G43" s="3"/>
      <c r="H43" s="52"/>
      <c r="I43" s="52"/>
      <c r="J43" s="53"/>
      <c r="K43" s="6"/>
      <c r="M43" s="13"/>
      <c r="N43" s="13"/>
      <c r="O43" s="13"/>
      <c r="P43" s="13"/>
      <c r="Q43" s="13"/>
      <c r="R43" s="13"/>
      <c r="S43" s="13"/>
    </row>
    <row r="44">
      <c r="A44" s="54" t="s">
        <v>36</v>
      </c>
      <c r="B44" s="55"/>
      <c r="C44" s="56" t="s">
        <v>37</v>
      </c>
      <c r="D44" s="55"/>
      <c r="F44" s="55"/>
      <c r="H44" s="55"/>
      <c r="I44" s="55"/>
      <c r="J44" s="57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</sheetData>
  <mergeCells count="138"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J8"/>
    <mergeCell ref="C9:J9"/>
    <mergeCell ref="C10:J10"/>
    <mergeCell ref="C11:D11"/>
    <mergeCell ref="E11:F11"/>
    <mergeCell ref="G11:H11"/>
    <mergeCell ref="I11:J11"/>
    <mergeCell ref="C12:D12"/>
    <mergeCell ref="E12:F12"/>
    <mergeCell ref="G12:H12"/>
    <mergeCell ref="I12:J12"/>
    <mergeCell ref="E13:F13"/>
    <mergeCell ref="G13:H13"/>
    <mergeCell ref="I13:J13"/>
    <mergeCell ref="G15:H15"/>
    <mergeCell ref="I15:J15"/>
    <mergeCell ref="C13:D13"/>
    <mergeCell ref="C14:D14"/>
    <mergeCell ref="E14:F14"/>
    <mergeCell ref="G14:H14"/>
    <mergeCell ref="I14:J14"/>
    <mergeCell ref="C15:D15"/>
    <mergeCell ref="E15:F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5:E45"/>
    <mergeCell ref="F45:G45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99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148">
        <v>1.0</v>
      </c>
      <c r="B8" s="155" t="s">
        <v>19</v>
      </c>
      <c r="C8" s="156" t="s">
        <v>100</v>
      </c>
      <c r="D8" s="15"/>
      <c r="E8" s="15"/>
      <c r="F8" s="15"/>
      <c r="G8" s="15"/>
      <c r="H8" s="15"/>
      <c r="I8" s="15"/>
      <c r="J8" s="5"/>
      <c r="K8" s="12"/>
      <c r="L8" s="89">
        <v>0.0</v>
      </c>
      <c r="M8" s="90">
        <v>0.0</v>
      </c>
      <c r="N8" s="91"/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149">
        <v>2.0</v>
      </c>
      <c r="B9" s="155" t="s">
        <v>20</v>
      </c>
      <c r="C9" s="156" t="s">
        <v>100</v>
      </c>
      <c r="D9" s="15"/>
      <c r="E9" s="15"/>
      <c r="F9" s="15"/>
      <c r="G9" s="15"/>
      <c r="H9" s="15"/>
      <c r="I9" s="15"/>
      <c r="J9" s="5"/>
      <c r="K9" s="86"/>
      <c r="L9" s="89">
        <v>0.0</v>
      </c>
      <c r="M9" s="83">
        <f>IF((L9-$M$3)&gt;$M$4,L9-$M$3,0)</f>
        <v>0</v>
      </c>
      <c r="N9" s="91"/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149">
        <v>3.0</v>
      </c>
      <c r="B10" s="158" t="s">
        <v>21</v>
      </c>
      <c r="C10" s="156" t="s">
        <v>100</v>
      </c>
      <c r="D10" s="15"/>
      <c r="E10" s="15"/>
      <c r="F10" s="15"/>
      <c r="G10" s="15"/>
      <c r="H10" s="15"/>
      <c r="I10" s="15"/>
      <c r="J10" s="5"/>
      <c r="K10" s="12"/>
      <c r="L10" s="89" t="str">
        <f t="shared" ref="L10:L24" si="1">(E10-C10)+(I10-G10)</f>
        <v>#VALUE!</v>
      </c>
      <c r="M10" s="90">
        <v>0.0</v>
      </c>
      <c r="N10" s="91" t="str">
        <f t="shared" ref="N10:N16" si="2">+IF(($M$3-L10)&gt;$M$4,$M$3-L10,0)</f>
        <v>#VALUE!</v>
      </c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149">
        <v>4.0</v>
      </c>
      <c r="B11" s="159" t="s">
        <v>23</v>
      </c>
      <c r="C11" s="156" t="s">
        <v>100</v>
      </c>
      <c r="D11" s="15"/>
      <c r="E11" s="15"/>
      <c r="F11" s="15"/>
      <c r="G11" s="15"/>
      <c r="H11" s="15"/>
      <c r="I11" s="15"/>
      <c r="J11" s="5"/>
      <c r="K11" s="12"/>
      <c r="L11" s="89" t="str">
        <f t="shared" si="1"/>
        <v>#VALUE!</v>
      </c>
      <c r="M11" s="90">
        <v>0.0</v>
      </c>
      <c r="N11" s="91" t="str">
        <f t="shared" si="2"/>
        <v>#VALUE!</v>
      </c>
      <c r="O11" s="13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149">
        <v>5.0</v>
      </c>
      <c r="B12" s="155" t="s">
        <v>24</v>
      </c>
      <c r="C12" s="150">
        <v>0.35208333333333336</v>
      </c>
      <c r="D12" s="5"/>
      <c r="E12" s="150">
        <v>0.5416666666666666</v>
      </c>
      <c r="F12" s="5"/>
      <c r="G12" s="150">
        <v>0.5777777777777777</v>
      </c>
      <c r="H12" s="5"/>
      <c r="I12" s="150">
        <v>0.7548611111111111</v>
      </c>
      <c r="J12" s="5"/>
      <c r="K12" s="12"/>
      <c r="L12" s="90">
        <f t="shared" si="1"/>
        <v>0.3666666667</v>
      </c>
      <c r="M12" s="92">
        <f t="shared" ref="M12:M16" si="3">IF((L12-$M$3)&gt;$M$4,L12-$M$3,0)</f>
        <v>0.03333333333</v>
      </c>
      <c r="N12" s="91">
        <f t="shared" si="2"/>
        <v>0</v>
      </c>
      <c r="O12" s="13"/>
      <c r="R12" s="29"/>
      <c r="S12" s="29"/>
      <c r="T12" s="13"/>
      <c r="U12" s="13"/>
      <c r="V12" s="13"/>
      <c r="W12" s="13"/>
      <c r="X12" s="13"/>
    </row>
    <row r="13">
      <c r="A13" s="149">
        <v>6.0</v>
      </c>
      <c r="B13" s="158" t="s">
        <v>58</v>
      </c>
      <c r="C13" s="152">
        <v>0.34930555555555554</v>
      </c>
      <c r="D13" s="5"/>
      <c r="E13" s="152">
        <v>0.5493055555555556</v>
      </c>
      <c r="F13" s="5"/>
      <c r="G13" s="152">
        <v>0.5833333333333334</v>
      </c>
      <c r="H13" s="5"/>
      <c r="I13" s="152">
        <v>0.7604166666666666</v>
      </c>
      <c r="J13" s="5"/>
      <c r="K13" s="12"/>
      <c r="L13" s="90">
        <f t="shared" si="1"/>
        <v>0.3770833333</v>
      </c>
      <c r="M13" s="92">
        <f t="shared" si="3"/>
        <v>0.04375</v>
      </c>
      <c r="N13" s="91">
        <f t="shared" si="2"/>
        <v>0</v>
      </c>
      <c r="O13" s="29"/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149">
        <v>7.0</v>
      </c>
      <c r="B14" s="159" t="s">
        <v>18</v>
      </c>
      <c r="C14" s="150">
        <v>0.34930555555555554</v>
      </c>
      <c r="D14" s="5"/>
      <c r="E14" s="150">
        <v>0.5423611111111111</v>
      </c>
      <c r="F14" s="5"/>
      <c r="G14" s="150">
        <v>0.5826388888888889</v>
      </c>
      <c r="H14" s="5"/>
      <c r="I14" s="150">
        <v>0.7479166666666667</v>
      </c>
      <c r="J14" s="5"/>
      <c r="K14" s="12"/>
      <c r="L14" s="90">
        <f t="shared" si="1"/>
        <v>0.3583333333</v>
      </c>
      <c r="M14" s="92">
        <f t="shared" si="3"/>
        <v>0.025</v>
      </c>
      <c r="N14" s="91">
        <f t="shared" si="2"/>
        <v>0</v>
      </c>
      <c r="O14" s="13"/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149">
        <v>8.0</v>
      </c>
      <c r="B15" s="159" t="s">
        <v>19</v>
      </c>
      <c r="C15" s="151">
        <v>0.3506944444444444</v>
      </c>
      <c r="D15" s="5"/>
      <c r="E15" s="151">
        <v>0.5416666666666666</v>
      </c>
      <c r="F15" s="5"/>
      <c r="G15" s="151">
        <v>0.5819444444444445</v>
      </c>
      <c r="H15" s="5"/>
      <c r="I15" s="151">
        <v>0.7486111111111111</v>
      </c>
      <c r="J15" s="5"/>
      <c r="K15" s="12"/>
      <c r="L15" s="90">
        <f t="shared" si="1"/>
        <v>0.3576388889</v>
      </c>
      <c r="M15" s="92">
        <f t="shared" si="3"/>
        <v>0.02430555556</v>
      </c>
      <c r="N15" s="91">
        <f t="shared" si="2"/>
        <v>0</v>
      </c>
      <c r="O15" s="13"/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149">
        <v>9.0</v>
      </c>
      <c r="B16" s="155" t="s">
        <v>20</v>
      </c>
      <c r="C16" s="151">
        <v>0.3486111111111111</v>
      </c>
      <c r="D16" s="5"/>
      <c r="E16" s="151">
        <v>0.5416666666666666</v>
      </c>
      <c r="F16" s="5"/>
      <c r="G16" s="151">
        <v>0.5805555555555556</v>
      </c>
      <c r="H16" s="5"/>
      <c r="I16" s="151">
        <v>0.7458333333333333</v>
      </c>
      <c r="J16" s="5"/>
      <c r="K16" s="12"/>
      <c r="L16" s="90">
        <f t="shared" si="1"/>
        <v>0.3583333333</v>
      </c>
      <c r="M16" s="92">
        <f t="shared" si="3"/>
        <v>0.025</v>
      </c>
      <c r="N16" s="91">
        <f t="shared" si="2"/>
        <v>0</v>
      </c>
      <c r="O16" s="13"/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149">
        <v>10.0</v>
      </c>
      <c r="B17" s="158" t="s">
        <v>21</v>
      </c>
      <c r="C17" s="150">
        <v>0.3284722222222222</v>
      </c>
      <c r="D17" s="5"/>
      <c r="E17" s="150"/>
      <c r="F17" s="5"/>
      <c r="G17" s="150"/>
      <c r="H17" s="5"/>
      <c r="I17" s="150">
        <v>0.5</v>
      </c>
      <c r="J17" s="5"/>
      <c r="K17" s="46"/>
      <c r="L17" s="90">
        <f t="shared" si="1"/>
        <v>0.1715277778</v>
      </c>
      <c r="M17" s="90">
        <v>0.004861111111111111</v>
      </c>
      <c r="N17" s="89">
        <v>0.0</v>
      </c>
      <c r="O17" s="29"/>
      <c r="R17" s="35">
        <v>0.05138888888888889</v>
      </c>
      <c r="S17" s="29"/>
      <c r="T17" s="13"/>
      <c r="U17" s="13"/>
      <c r="V17" s="13"/>
      <c r="W17" s="13"/>
      <c r="X17" s="13"/>
    </row>
    <row r="18">
      <c r="A18" s="149">
        <v>11.0</v>
      </c>
      <c r="B18" s="159" t="s">
        <v>23</v>
      </c>
      <c r="C18" s="150"/>
      <c r="D18" s="5"/>
      <c r="E18" s="150"/>
      <c r="F18" s="5"/>
      <c r="G18" s="150"/>
      <c r="H18" s="5"/>
      <c r="I18" s="150"/>
      <c r="J18" s="5"/>
      <c r="K18" s="12"/>
      <c r="L18" s="90">
        <f t="shared" si="1"/>
        <v>0</v>
      </c>
      <c r="M18" s="91">
        <f t="shared" ref="M18:M24" si="4">IF((L18-$M$3)&gt;$M$4,L18-$M$3,0)</f>
        <v>0</v>
      </c>
      <c r="N18" s="89">
        <v>0.0</v>
      </c>
      <c r="O18" s="13"/>
      <c r="R18" s="29">
        <v>0.0</v>
      </c>
      <c r="S18" s="29"/>
      <c r="T18" s="29"/>
      <c r="U18" s="37"/>
      <c r="V18" s="35"/>
      <c r="W18" s="13"/>
      <c r="X18" s="13"/>
    </row>
    <row r="19">
      <c r="A19" s="149">
        <v>12.0</v>
      </c>
      <c r="B19" s="155" t="s">
        <v>24</v>
      </c>
      <c r="C19" s="150">
        <v>0.3486111111111111</v>
      </c>
      <c r="D19" s="5"/>
      <c r="E19" s="150">
        <v>0.5423611111111111</v>
      </c>
      <c r="F19" s="5"/>
      <c r="G19" s="150">
        <v>0.5819444444444445</v>
      </c>
      <c r="H19" s="5"/>
      <c r="I19" s="150">
        <v>0.7493055555555556</v>
      </c>
      <c r="J19" s="5"/>
      <c r="K19" s="12"/>
      <c r="L19" s="90">
        <f t="shared" si="1"/>
        <v>0.3611111111</v>
      </c>
      <c r="M19" s="92">
        <f t="shared" si="4"/>
        <v>0.02777777778</v>
      </c>
      <c r="N19" s="91">
        <f t="shared" ref="N19:N23" si="5">+IF(($M$3-L19)&gt;$M$4,$M$3-L19,0)</f>
        <v>0</v>
      </c>
      <c r="O19" s="13"/>
      <c r="R19" s="29"/>
      <c r="S19" s="29"/>
      <c r="T19" s="29"/>
      <c r="U19" s="37"/>
      <c r="V19" s="35"/>
      <c r="W19" s="13"/>
      <c r="X19" s="13"/>
    </row>
    <row r="20">
      <c r="A20" s="149">
        <v>13.0</v>
      </c>
      <c r="B20" s="158" t="s">
        <v>58</v>
      </c>
      <c r="C20" s="150">
        <v>0.34930555555555554</v>
      </c>
      <c r="D20" s="5"/>
      <c r="E20" s="150">
        <v>0.5541666666666667</v>
      </c>
      <c r="F20" s="5"/>
      <c r="G20" s="150">
        <v>0.5895833333333333</v>
      </c>
      <c r="H20" s="5"/>
      <c r="I20" s="150">
        <v>0.7458333333333333</v>
      </c>
      <c r="J20" s="5"/>
      <c r="K20" s="12"/>
      <c r="L20" s="90">
        <f t="shared" si="1"/>
        <v>0.3611111111</v>
      </c>
      <c r="M20" s="92">
        <f t="shared" si="4"/>
        <v>0.02777777778</v>
      </c>
      <c r="N20" s="91">
        <f t="shared" si="5"/>
        <v>0</v>
      </c>
      <c r="O20" s="29"/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149">
        <v>14.0</v>
      </c>
      <c r="B21" s="159" t="s">
        <v>18</v>
      </c>
      <c r="C21" s="150">
        <v>0.34930555555555554</v>
      </c>
      <c r="D21" s="5"/>
      <c r="E21" s="151">
        <v>0.5451388888888888</v>
      </c>
      <c r="F21" s="5"/>
      <c r="G21" s="151">
        <v>0.5777777777777777</v>
      </c>
      <c r="H21" s="5"/>
      <c r="I21" s="150">
        <v>0.74375</v>
      </c>
      <c r="J21" s="5"/>
      <c r="K21" s="46"/>
      <c r="L21" s="90">
        <f t="shared" si="1"/>
        <v>0.3618055556</v>
      </c>
      <c r="M21" s="92">
        <f t="shared" si="4"/>
        <v>0.02847222222</v>
      </c>
      <c r="N21" s="91">
        <f t="shared" si="5"/>
        <v>0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149">
        <v>15.0</v>
      </c>
      <c r="B22" s="159" t="s">
        <v>19</v>
      </c>
      <c r="C22" s="150">
        <v>0.35138888888888886</v>
      </c>
      <c r="D22" s="5"/>
      <c r="E22" s="150">
        <v>0.5423611111111111</v>
      </c>
      <c r="F22" s="5"/>
      <c r="G22" s="150">
        <v>0.5826388888888889</v>
      </c>
      <c r="H22" s="5"/>
      <c r="I22" s="150">
        <v>0.7451388888888889</v>
      </c>
      <c r="J22" s="5"/>
      <c r="K22" s="12"/>
      <c r="L22" s="90">
        <f t="shared" si="1"/>
        <v>0.3534722222</v>
      </c>
      <c r="M22" s="92">
        <f t="shared" si="4"/>
        <v>0.02013888889</v>
      </c>
      <c r="N22" s="91">
        <f t="shared" si="5"/>
        <v>0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149">
        <v>16.0</v>
      </c>
      <c r="B23" s="158" t="s">
        <v>20</v>
      </c>
      <c r="C23" s="150">
        <v>0.3506944444444444</v>
      </c>
      <c r="D23" s="5"/>
      <c r="E23" s="150">
        <v>0.5423611111111111</v>
      </c>
      <c r="F23" s="5"/>
      <c r="G23" s="150">
        <v>0.5798611111111112</v>
      </c>
      <c r="H23" s="5"/>
      <c r="I23" s="150">
        <v>0.7486111111111111</v>
      </c>
      <c r="J23" s="5"/>
      <c r="K23" s="12"/>
      <c r="L23" s="90">
        <f t="shared" si="1"/>
        <v>0.3604166667</v>
      </c>
      <c r="M23" s="92">
        <f t="shared" si="4"/>
        <v>0.02708333333</v>
      </c>
      <c r="N23" s="91">
        <f t="shared" si="5"/>
        <v>0</v>
      </c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149">
        <v>17.0</v>
      </c>
      <c r="B24" s="159" t="s">
        <v>21</v>
      </c>
      <c r="C24" s="150">
        <v>0.3298611111111111</v>
      </c>
      <c r="D24" s="5"/>
      <c r="E24" s="150"/>
      <c r="F24" s="5"/>
      <c r="G24" s="150"/>
      <c r="H24" s="5"/>
      <c r="I24" s="150">
        <v>0.4979166666666667</v>
      </c>
      <c r="J24" s="5"/>
      <c r="K24" s="12"/>
      <c r="L24" s="90">
        <f t="shared" si="1"/>
        <v>0.1680555556</v>
      </c>
      <c r="M24" s="91">
        <f t="shared" si="4"/>
        <v>0</v>
      </c>
      <c r="N24" s="89">
        <v>0.0</v>
      </c>
      <c r="R24" s="29">
        <v>0.0</v>
      </c>
      <c r="S24" s="29"/>
      <c r="T24" s="29"/>
      <c r="U24" s="13"/>
      <c r="V24" s="35"/>
      <c r="W24" s="35"/>
      <c r="X24" s="29"/>
    </row>
    <row r="25">
      <c r="A25" s="149">
        <v>18.0</v>
      </c>
      <c r="B25" s="159" t="s">
        <v>23</v>
      </c>
      <c r="C25" s="166"/>
      <c r="D25" s="5"/>
      <c r="E25" s="166"/>
      <c r="F25" s="5"/>
      <c r="G25" s="166"/>
      <c r="H25" s="5"/>
      <c r="I25" s="166"/>
      <c r="J25" s="5"/>
      <c r="K25" s="38"/>
      <c r="L25" s="130">
        <v>0.0</v>
      </c>
      <c r="M25" s="167">
        <v>0.0</v>
      </c>
      <c r="N25" s="130"/>
      <c r="R25" s="29" t="s">
        <v>46</v>
      </c>
      <c r="S25" s="29"/>
      <c r="T25" s="29"/>
      <c r="U25" s="37"/>
      <c r="V25" s="35"/>
      <c r="W25" s="35"/>
      <c r="X25" s="13"/>
    </row>
    <row r="26">
      <c r="A26" s="149">
        <v>19.0</v>
      </c>
      <c r="B26" s="158" t="s">
        <v>24</v>
      </c>
      <c r="C26" s="154" t="s">
        <v>68</v>
      </c>
      <c r="D26" s="15"/>
      <c r="E26" s="15"/>
      <c r="F26" s="15"/>
      <c r="G26" s="15"/>
      <c r="H26" s="15"/>
      <c r="I26" s="15"/>
      <c r="J26" s="5"/>
      <c r="K26" s="40"/>
      <c r="L26" s="90">
        <v>0.0</v>
      </c>
      <c r="M26" s="90">
        <v>0.0</v>
      </c>
      <c r="N26" s="89">
        <v>0.0</v>
      </c>
      <c r="R26" s="29"/>
      <c r="S26" s="29"/>
      <c r="T26" s="29"/>
      <c r="U26" s="37"/>
      <c r="V26" s="35"/>
      <c r="W26" s="13"/>
      <c r="X26" s="13"/>
    </row>
    <row r="27">
      <c r="A27" s="149">
        <v>20.0</v>
      </c>
      <c r="B27" s="159" t="s">
        <v>58</v>
      </c>
      <c r="C27" s="150">
        <v>0.34930555555555554</v>
      </c>
      <c r="D27" s="5"/>
      <c r="E27" s="150">
        <v>0.5416666666666666</v>
      </c>
      <c r="F27" s="5"/>
      <c r="G27" s="161" t="s">
        <v>103</v>
      </c>
      <c r="H27" s="5"/>
      <c r="I27" s="150">
        <v>0.7513888888888889</v>
      </c>
      <c r="J27" s="5"/>
      <c r="K27" s="12"/>
      <c r="L27" s="83" t="str">
        <f t="shared" ref="L27:L37" si="6">(E27-C27)+(I27-G27)</f>
        <v>#VALUE!</v>
      </c>
      <c r="M27" s="83" t="str">
        <f t="shared" ref="M27:M37" si="7">IF((L27-$M$3)&gt;$M$4,L27-$M$3,0)</f>
        <v>#VALUE!</v>
      </c>
      <c r="N27" s="83" t="str">
        <f t="shared" ref="N27:N30" si="8">+IF(($M$3-L27)&gt;$M$4,$M$3-L27,0)</f>
        <v>#VALUE!</v>
      </c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149">
        <v>21.0</v>
      </c>
      <c r="B28" s="159" t="s">
        <v>18</v>
      </c>
      <c r="C28" s="150">
        <v>0.35138888888888886</v>
      </c>
      <c r="D28" s="5"/>
      <c r="E28" s="150">
        <v>0.5416666666666666</v>
      </c>
      <c r="F28" s="5"/>
      <c r="G28" s="150">
        <v>0.5819444444444445</v>
      </c>
      <c r="H28" s="5"/>
      <c r="I28" s="150">
        <v>0.7458333333333333</v>
      </c>
      <c r="J28" s="5"/>
      <c r="K28" s="12"/>
      <c r="L28" s="83">
        <f t="shared" si="6"/>
        <v>0.3541666667</v>
      </c>
      <c r="M28" s="83">
        <f t="shared" si="7"/>
        <v>0.02083333333</v>
      </c>
      <c r="N28" s="83">
        <f t="shared" si="8"/>
        <v>0</v>
      </c>
      <c r="P28" s="98"/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149">
        <v>22.0</v>
      </c>
      <c r="B29" s="159" t="s">
        <v>19</v>
      </c>
      <c r="C29" s="150">
        <v>0.3590277777777778</v>
      </c>
      <c r="D29" s="5"/>
      <c r="E29" s="150">
        <v>0.5423611111111111</v>
      </c>
      <c r="F29" s="5"/>
      <c r="G29" s="150">
        <v>0.5958333333333333</v>
      </c>
      <c r="H29" s="5"/>
      <c r="I29" s="150">
        <v>0.7444444444444445</v>
      </c>
      <c r="J29" s="5"/>
      <c r="K29" s="12"/>
      <c r="L29" s="83">
        <f t="shared" si="6"/>
        <v>0.3319444444</v>
      </c>
      <c r="M29" s="83">
        <f t="shared" si="7"/>
        <v>0</v>
      </c>
      <c r="N29" s="83">
        <f t="shared" si="8"/>
        <v>0</v>
      </c>
      <c r="R29" s="29"/>
      <c r="S29" s="29"/>
      <c r="T29" s="13"/>
      <c r="U29" s="13"/>
      <c r="V29" s="13"/>
      <c r="W29" s="13"/>
      <c r="X29" s="13"/>
    </row>
    <row r="30">
      <c r="A30" s="149">
        <v>23.0</v>
      </c>
      <c r="B30" s="158" t="s">
        <v>20</v>
      </c>
      <c r="C30" s="152">
        <v>0.3541666666666667</v>
      </c>
      <c r="D30" s="5"/>
      <c r="E30" s="152">
        <v>0.5430555555555555</v>
      </c>
      <c r="F30" s="5"/>
      <c r="G30" s="152">
        <v>0.5819444444444445</v>
      </c>
      <c r="H30" s="5"/>
      <c r="I30" s="152">
        <v>0.7465277777777778</v>
      </c>
      <c r="J30" s="5"/>
      <c r="K30" s="12"/>
      <c r="L30" s="83">
        <f t="shared" si="6"/>
        <v>0.3534722222</v>
      </c>
      <c r="M30" s="83">
        <f t="shared" si="7"/>
        <v>0.02013888889</v>
      </c>
      <c r="N30" s="162">
        <f t="shared" si="8"/>
        <v>0</v>
      </c>
      <c r="R30" s="29"/>
      <c r="S30" s="29"/>
      <c r="T30" s="29"/>
      <c r="U30" s="37"/>
      <c r="V30" s="29">
        <v>5.3</v>
      </c>
      <c r="W30" s="13"/>
      <c r="X30" s="13"/>
    </row>
    <row r="31">
      <c r="A31" s="149">
        <v>24.0</v>
      </c>
      <c r="B31" s="159" t="s">
        <v>21</v>
      </c>
      <c r="C31" s="150">
        <v>0.33055555555555555</v>
      </c>
      <c r="D31" s="5"/>
      <c r="E31" s="150"/>
      <c r="F31" s="5"/>
      <c r="G31" s="150"/>
      <c r="H31" s="5"/>
      <c r="I31" s="150">
        <v>0.4979166666666667</v>
      </c>
      <c r="J31" s="5"/>
      <c r="K31" s="12"/>
      <c r="L31" s="83">
        <f t="shared" si="6"/>
        <v>0.1673611111</v>
      </c>
      <c r="M31" s="83">
        <f t="shared" si="7"/>
        <v>0</v>
      </c>
      <c r="N31" s="84">
        <v>0.0</v>
      </c>
      <c r="P31" s="35"/>
      <c r="Q31" s="13"/>
      <c r="R31" s="13"/>
    </row>
    <row r="32">
      <c r="A32" s="149">
        <v>25.0</v>
      </c>
      <c r="B32" s="159" t="s">
        <v>23</v>
      </c>
      <c r="C32" s="151"/>
      <c r="D32" s="5"/>
      <c r="E32" s="151"/>
      <c r="F32" s="5"/>
      <c r="G32" s="151"/>
      <c r="H32" s="5"/>
      <c r="I32" s="168"/>
      <c r="J32" s="5"/>
      <c r="K32" s="12"/>
      <c r="L32" s="83">
        <f t="shared" si="6"/>
        <v>0</v>
      </c>
      <c r="M32" s="83">
        <f t="shared" si="7"/>
        <v>0</v>
      </c>
      <c r="N32" s="84">
        <v>0.0</v>
      </c>
      <c r="P32" s="35"/>
      <c r="Q32" s="29"/>
      <c r="R32" s="29"/>
    </row>
    <row r="33">
      <c r="A33" s="149">
        <v>26.0</v>
      </c>
      <c r="B33" s="159" t="s">
        <v>24</v>
      </c>
      <c r="C33" s="151">
        <v>0.3625</v>
      </c>
      <c r="D33" s="5"/>
      <c r="E33" s="151">
        <v>0.5048611111111111</v>
      </c>
      <c r="F33" s="5"/>
      <c r="G33" s="151">
        <v>0.5402777777777777</v>
      </c>
      <c r="H33" s="5"/>
      <c r="I33" s="151">
        <v>0.6284722222222222</v>
      </c>
      <c r="J33" s="5"/>
      <c r="K33" s="46"/>
      <c r="L33" s="83">
        <f t="shared" si="6"/>
        <v>0.2305555556</v>
      </c>
      <c r="M33" s="83">
        <f t="shared" si="7"/>
        <v>0</v>
      </c>
      <c r="N33" s="83">
        <f t="shared" ref="N33:N37" si="9">+IF(($M$3-L33)&gt;$M$4,$M$3-L33,0)</f>
        <v>0.1027777778</v>
      </c>
      <c r="O33" s="31"/>
      <c r="P33" s="35"/>
      <c r="Q33" s="13"/>
      <c r="R33" s="13"/>
    </row>
    <row r="34">
      <c r="A34" s="149">
        <v>27.0</v>
      </c>
      <c r="B34" s="159" t="s">
        <v>58</v>
      </c>
      <c r="C34" s="150">
        <v>0.34930555555555554</v>
      </c>
      <c r="D34" s="5"/>
      <c r="E34" s="150">
        <v>0.5409722222222222</v>
      </c>
      <c r="F34" s="5"/>
      <c r="G34" s="161" t="s">
        <v>103</v>
      </c>
      <c r="H34" s="5"/>
      <c r="I34" s="150">
        <v>0.7472222222222222</v>
      </c>
      <c r="J34" s="5"/>
      <c r="K34" s="46"/>
      <c r="L34" s="83" t="str">
        <f t="shared" si="6"/>
        <v>#VALUE!</v>
      </c>
      <c r="M34" s="83" t="str">
        <f t="shared" si="7"/>
        <v>#VALUE!</v>
      </c>
      <c r="N34" s="83" t="str">
        <f t="shared" si="9"/>
        <v>#VALUE!</v>
      </c>
      <c r="P34" s="13"/>
      <c r="Q34" s="13"/>
      <c r="R34" s="13"/>
    </row>
    <row r="35">
      <c r="A35" s="149">
        <v>28.0</v>
      </c>
      <c r="B35" s="159" t="s">
        <v>18</v>
      </c>
      <c r="C35" s="150">
        <v>0.3486111111111111</v>
      </c>
      <c r="D35" s="5"/>
      <c r="E35" s="150">
        <v>0.5416666666666666</v>
      </c>
      <c r="F35" s="5"/>
      <c r="G35" s="150">
        <v>0.58125</v>
      </c>
      <c r="H35" s="5"/>
      <c r="I35" s="150">
        <v>0.75625</v>
      </c>
      <c r="J35" s="5"/>
      <c r="K35" s="46"/>
      <c r="L35" s="83">
        <f t="shared" si="6"/>
        <v>0.3680555556</v>
      </c>
      <c r="M35" s="83">
        <f t="shared" si="7"/>
        <v>0.03472222222</v>
      </c>
      <c r="N35" s="83">
        <f t="shared" si="9"/>
        <v>0</v>
      </c>
      <c r="P35" s="35"/>
      <c r="Q35" s="13"/>
      <c r="R35" s="43"/>
      <c r="S35" s="101"/>
    </row>
    <row r="36">
      <c r="A36" s="149">
        <v>29.0</v>
      </c>
      <c r="B36" s="159" t="s">
        <v>19</v>
      </c>
      <c r="C36" s="150">
        <v>0.35</v>
      </c>
      <c r="D36" s="5"/>
      <c r="E36" s="150">
        <v>0.5430555555555555</v>
      </c>
      <c r="F36" s="5"/>
      <c r="G36" s="150">
        <v>0.5826388888888889</v>
      </c>
      <c r="H36" s="5"/>
      <c r="I36" s="150">
        <v>0.7472222222222222</v>
      </c>
      <c r="J36" s="5"/>
      <c r="K36" s="12"/>
      <c r="L36" s="83">
        <f t="shared" si="6"/>
        <v>0.3576388889</v>
      </c>
      <c r="M36" s="83">
        <f t="shared" si="7"/>
        <v>0.02430555556</v>
      </c>
      <c r="N36" s="83">
        <f t="shared" si="9"/>
        <v>0</v>
      </c>
      <c r="O36" s="93" t="s">
        <v>105</v>
      </c>
      <c r="P36" s="142" t="s">
        <v>106</v>
      </c>
      <c r="Q36" s="13"/>
      <c r="R36" s="29"/>
      <c r="S36" s="37"/>
    </row>
    <row r="37">
      <c r="A37" s="163">
        <v>30.0</v>
      </c>
      <c r="B37" s="159" t="s">
        <v>20</v>
      </c>
      <c r="C37" s="150">
        <v>0.35</v>
      </c>
      <c r="D37" s="5"/>
      <c r="E37" s="150">
        <v>0.5416666666666666</v>
      </c>
      <c r="F37" s="5"/>
      <c r="G37" s="150">
        <v>0.5819444444444445</v>
      </c>
      <c r="H37" s="5"/>
      <c r="I37" s="150">
        <v>0.7430555555555556</v>
      </c>
      <c r="J37" s="5"/>
      <c r="K37" s="12"/>
      <c r="L37" s="83">
        <f t="shared" si="6"/>
        <v>0.3527777778</v>
      </c>
      <c r="M37" s="83">
        <f t="shared" si="7"/>
        <v>0.01944444444</v>
      </c>
      <c r="N37" s="83">
        <f t="shared" si="9"/>
        <v>0</v>
      </c>
      <c r="P37" s="35"/>
      <c r="Q37" s="37"/>
      <c r="R37" s="35"/>
      <c r="S37" s="41"/>
    </row>
    <row r="38">
      <c r="A38" s="163">
        <v>31.0</v>
      </c>
      <c r="B38" s="159" t="s">
        <v>21</v>
      </c>
      <c r="C38" s="150">
        <v>0.3527777777777778</v>
      </c>
      <c r="D38" s="5"/>
      <c r="E38" s="150"/>
      <c r="F38" s="5"/>
      <c r="G38" s="150"/>
      <c r="H38" s="5"/>
      <c r="I38" s="150">
        <v>0.4965277777777778</v>
      </c>
      <c r="J38" s="5"/>
      <c r="K38" s="6"/>
      <c r="L38" s="104"/>
      <c r="M38" s="104" t="str">
        <f>SUM(M8:M37)</f>
        <v>#VALUE!</v>
      </c>
      <c r="N38" s="82"/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29"/>
      <c r="M39" s="13"/>
      <c r="N39" s="29"/>
      <c r="O39" s="13"/>
      <c r="P39" s="13"/>
      <c r="Q39" s="13">
        <f>24-8</f>
        <v>16</v>
      </c>
      <c r="R39" s="13"/>
    </row>
    <row r="40">
      <c r="A40" s="107" t="s">
        <v>115</v>
      </c>
      <c r="B40" s="108"/>
      <c r="C40" s="108"/>
      <c r="D40" s="108"/>
      <c r="E40" s="15"/>
      <c r="F40" s="108"/>
      <c r="G40" s="15"/>
      <c r="H40" s="108"/>
      <c r="I40" s="108"/>
      <c r="J40" s="109"/>
      <c r="K40" s="12"/>
      <c r="L40" s="13"/>
      <c r="M40" s="13"/>
      <c r="N40" s="35"/>
      <c r="O40" s="13"/>
      <c r="P40" s="29"/>
      <c r="Q40" s="13"/>
    </row>
    <row r="41">
      <c r="A41" s="107" t="s">
        <v>116</v>
      </c>
      <c r="B41" s="108"/>
      <c r="C41" s="108"/>
      <c r="D41" s="108"/>
      <c r="E41" s="108"/>
      <c r="F41" s="108"/>
      <c r="G41" s="15"/>
      <c r="H41" s="108"/>
      <c r="I41" s="108"/>
      <c r="J41" s="109"/>
      <c r="K41" s="6"/>
      <c r="L41" s="13"/>
      <c r="M41" s="13"/>
      <c r="N41" s="13"/>
      <c r="O41" s="29"/>
      <c r="P41" s="35"/>
      <c r="Q41" s="29"/>
    </row>
    <row r="42">
      <c r="A42" s="107" t="s">
        <v>117</v>
      </c>
      <c r="B42" s="15"/>
      <c r="C42" s="15"/>
      <c r="D42" s="15"/>
      <c r="E42" s="15"/>
      <c r="F42" s="15"/>
      <c r="G42" s="15"/>
      <c r="H42" s="15"/>
      <c r="I42" s="15"/>
      <c r="J42" s="5"/>
      <c r="L42" s="13"/>
      <c r="M42" s="13"/>
      <c r="N42" s="29"/>
      <c r="O42" s="13"/>
      <c r="P42" s="13"/>
      <c r="Q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L43" s="13"/>
      <c r="M43" s="13"/>
      <c r="N43" s="35"/>
      <c r="O43" s="35"/>
      <c r="P43" s="13"/>
      <c r="Q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13"/>
      <c r="O44" s="13"/>
      <c r="P44" s="13"/>
      <c r="Q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C47" s="41"/>
      <c r="L47" s="35"/>
      <c r="M47" s="13"/>
      <c r="N47" s="13"/>
      <c r="O47" s="13"/>
      <c r="P47" s="13"/>
      <c r="Q47" s="13"/>
    </row>
    <row r="48">
      <c r="L48" s="41"/>
      <c r="P48" s="13"/>
      <c r="Q48" s="13"/>
    </row>
  </sheetData>
  <mergeCells count="133">
    <mergeCell ref="C15:D15"/>
    <mergeCell ref="E15:F15"/>
    <mergeCell ref="G15:H15"/>
    <mergeCell ref="I15:J15"/>
    <mergeCell ref="E16:F16"/>
    <mergeCell ref="G16:H16"/>
    <mergeCell ref="I16:J16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J8"/>
    <mergeCell ref="C9:J9"/>
    <mergeCell ref="C10:J10"/>
    <mergeCell ref="C11:J11"/>
    <mergeCell ref="E12:F12"/>
    <mergeCell ref="G12:H12"/>
    <mergeCell ref="I12:J12"/>
    <mergeCell ref="G14:H14"/>
    <mergeCell ref="I14:J14"/>
    <mergeCell ref="C12:D12"/>
    <mergeCell ref="C13:D13"/>
    <mergeCell ref="E13:F13"/>
    <mergeCell ref="G13:H13"/>
    <mergeCell ref="I13:J13"/>
    <mergeCell ref="C14:D14"/>
    <mergeCell ref="E14:F14"/>
    <mergeCell ref="G18:H18"/>
    <mergeCell ref="I18:J18"/>
    <mergeCell ref="G22:H22"/>
    <mergeCell ref="I22:J22"/>
    <mergeCell ref="C27:D27"/>
    <mergeCell ref="C28:D28"/>
    <mergeCell ref="E28:F28"/>
    <mergeCell ref="G28:H28"/>
    <mergeCell ref="I28:J28"/>
    <mergeCell ref="C29:D29"/>
    <mergeCell ref="E29:F29"/>
    <mergeCell ref="C30:D30"/>
    <mergeCell ref="E30:F30"/>
    <mergeCell ref="G30:H30"/>
    <mergeCell ref="I30:J30"/>
    <mergeCell ref="E31:F31"/>
    <mergeCell ref="G31:H31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4:E44"/>
    <mergeCell ref="D45:E45"/>
    <mergeCell ref="F45:G45"/>
    <mergeCell ref="A39:J39"/>
    <mergeCell ref="D40:E40"/>
    <mergeCell ref="F40:G40"/>
    <mergeCell ref="F41:G41"/>
    <mergeCell ref="A42:J42"/>
    <mergeCell ref="F43:G43"/>
    <mergeCell ref="F44:G44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E27:F27"/>
    <mergeCell ref="G27:H27"/>
    <mergeCell ref="C24:D24"/>
    <mergeCell ref="C25:D25"/>
    <mergeCell ref="E25:F25"/>
    <mergeCell ref="G25:H25"/>
    <mergeCell ref="I25:J25"/>
    <mergeCell ref="C26:J26"/>
    <mergeCell ref="I27:J27"/>
    <mergeCell ref="G29:H29"/>
    <mergeCell ref="I29:J29"/>
    <mergeCell ref="G37:H37"/>
    <mergeCell ref="I37:J37"/>
    <mergeCell ref="C38:D38"/>
    <mergeCell ref="E38:F38"/>
    <mergeCell ref="G38:H38"/>
    <mergeCell ref="I38:J38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  <c r="L5" s="13"/>
      <c r="M5" s="13"/>
      <c r="N5" s="13"/>
    </row>
    <row r="6">
      <c r="A6" s="66" t="s">
        <v>10</v>
      </c>
      <c r="B6" s="123" t="s">
        <v>99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/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</row>
    <row r="8">
      <c r="A8" s="148">
        <v>1.0</v>
      </c>
      <c r="B8" s="155" t="s">
        <v>19</v>
      </c>
      <c r="C8" s="156" t="s">
        <v>100</v>
      </c>
      <c r="D8" s="15"/>
      <c r="E8" s="15"/>
      <c r="F8" s="15"/>
      <c r="G8" s="15"/>
      <c r="H8" s="15"/>
      <c r="I8" s="15"/>
      <c r="J8" s="5"/>
      <c r="K8" s="6"/>
      <c r="L8" s="89" t="str">
        <f t="shared" ref="L8:L10" si="1">(E8-C8)+(I8-G8)</f>
        <v>#VALUE!</v>
      </c>
      <c r="M8" s="90">
        <v>0.0</v>
      </c>
      <c r="N8" s="90">
        <v>0.0</v>
      </c>
      <c r="S8" s="13"/>
      <c r="T8" s="29"/>
      <c r="U8" s="29"/>
      <c r="V8" s="13"/>
      <c r="W8" s="13"/>
      <c r="X8" s="13"/>
      <c r="Y8" s="13"/>
      <c r="Z8" s="13"/>
    </row>
    <row r="9">
      <c r="A9" s="149">
        <v>2.0</v>
      </c>
      <c r="B9" s="155" t="s">
        <v>20</v>
      </c>
      <c r="C9" s="156" t="s">
        <v>100</v>
      </c>
      <c r="D9" s="15"/>
      <c r="E9" s="15"/>
      <c r="F9" s="15"/>
      <c r="G9" s="15"/>
      <c r="H9" s="15"/>
      <c r="I9" s="15"/>
      <c r="J9" s="5"/>
      <c r="K9" s="6"/>
      <c r="L9" s="89" t="str">
        <f t="shared" si="1"/>
        <v>#VALUE!</v>
      </c>
      <c r="M9" s="90">
        <v>0.0</v>
      </c>
      <c r="N9" s="90">
        <v>0.0</v>
      </c>
      <c r="S9" s="13"/>
      <c r="T9" s="29"/>
      <c r="U9" s="29"/>
      <c r="V9" s="13"/>
      <c r="W9" s="13"/>
      <c r="X9" s="13"/>
      <c r="Y9" s="13"/>
      <c r="Z9" s="13"/>
    </row>
    <row r="10">
      <c r="A10" s="149">
        <v>3.0</v>
      </c>
      <c r="B10" s="158" t="s">
        <v>21</v>
      </c>
      <c r="C10" s="156" t="s">
        <v>100</v>
      </c>
      <c r="D10" s="15"/>
      <c r="E10" s="15"/>
      <c r="F10" s="15"/>
      <c r="G10" s="15"/>
      <c r="H10" s="15"/>
      <c r="I10" s="15"/>
      <c r="J10" s="5"/>
      <c r="K10" s="6"/>
      <c r="L10" s="89" t="str">
        <f t="shared" si="1"/>
        <v>#VALUE!</v>
      </c>
      <c r="M10" s="90">
        <v>0.0</v>
      </c>
      <c r="N10" s="90">
        <v>0.0</v>
      </c>
      <c r="S10" s="13"/>
      <c r="T10" s="29"/>
      <c r="U10" s="29"/>
      <c r="V10" s="13"/>
      <c r="W10" s="13"/>
      <c r="X10" s="13"/>
      <c r="Y10" s="13"/>
      <c r="Z10" s="13"/>
    </row>
    <row r="11">
      <c r="A11" s="149">
        <v>4.0</v>
      </c>
      <c r="B11" s="159" t="s">
        <v>23</v>
      </c>
      <c r="C11" s="156" t="s">
        <v>100</v>
      </c>
      <c r="D11" s="15"/>
      <c r="E11" s="15"/>
      <c r="F11" s="15"/>
      <c r="G11" s="15"/>
      <c r="H11" s="15"/>
      <c r="I11" s="15"/>
      <c r="J11" s="5"/>
      <c r="K11" s="6"/>
      <c r="L11" s="90">
        <v>0.0</v>
      </c>
      <c r="M11" s="90">
        <v>0.0</v>
      </c>
      <c r="N11" s="89">
        <v>0.0</v>
      </c>
      <c r="S11" s="13"/>
      <c r="T11" s="29"/>
      <c r="U11" s="29"/>
      <c r="V11" s="13"/>
      <c r="W11" s="13"/>
      <c r="X11" s="13"/>
      <c r="Y11" s="13"/>
      <c r="Z11" s="13"/>
    </row>
    <row r="12">
      <c r="A12" s="149">
        <v>5.0</v>
      </c>
      <c r="B12" s="155" t="s">
        <v>24</v>
      </c>
      <c r="C12" s="150">
        <v>0.35138888888888886</v>
      </c>
      <c r="D12" s="5"/>
      <c r="E12" s="150">
        <v>0.5</v>
      </c>
      <c r="F12" s="5"/>
      <c r="G12" s="150">
        <v>0.5416666666666666</v>
      </c>
      <c r="H12" s="5"/>
      <c r="I12" s="150">
        <v>0.7527777777777778</v>
      </c>
      <c r="J12" s="5"/>
      <c r="K12" s="6"/>
      <c r="L12" s="90">
        <f t="shared" ref="L12:L22" si="2">(E12-C12)+(I12-G12)</f>
        <v>0.3597222222</v>
      </c>
      <c r="M12" s="92">
        <f t="shared" ref="M12:M22" si="3">IF((L12-$M$3)&gt;$M$4,L12-$M$3,0)</f>
        <v>0.02638888889</v>
      </c>
      <c r="N12" s="91">
        <f t="shared" ref="N12:N16" si="4">+IF(($M$3-L12)&gt;$M$4,$M$3-L12,0)</f>
        <v>0</v>
      </c>
      <c r="S12" s="13"/>
      <c r="T12" s="29"/>
      <c r="U12" s="29"/>
      <c r="V12" s="13"/>
      <c r="W12" s="13"/>
      <c r="X12" s="13"/>
      <c r="Y12" s="13"/>
      <c r="Z12" s="13"/>
    </row>
    <row r="13">
      <c r="A13" s="149">
        <v>6.0</v>
      </c>
      <c r="B13" s="158" t="s">
        <v>58</v>
      </c>
      <c r="C13" s="150">
        <v>0.34930555555555554</v>
      </c>
      <c r="D13" s="5"/>
      <c r="E13" s="150">
        <v>0.5006944444444444</v>
      </c>
      <c r="F13" s="5"/>
      <c r="G13" s="150">
        <v>0.54375</v>
      </c>
      <c r="H13" s="5"/>
      <c r="I13" s="150">
        <v>0.7555555555555555</v>
      </c>
      <c r="J13" s="5"/>
      <c r="K13" s="6"/>
      <c r="L13" s="90">
        <f t="shared" si="2"/>
        <v>0.3631944444</v>
      </c>
      <c r="M13" s="92">
        <f t="shared" si="3"/>
        <v>0.02986111111</v>
      </c>
      <c r="N13" s="91">
        <f t="shared" si="4"/>
        <v>0</v>
      </c>
      <c r="S13" s="29"/>
      <c r="T13" s="29"/>
      <c r="U13" s="29"/>
      <c r="V13" s="29"/>
      <c r="W13" s="37"/>
      <c r="X13" s="35"/>
      <c r="Y13" s="13"/>
      <c r="Z13" s="13"/>
    </row>
    <row r="14">
      <c r="A14" s="149">
        <v>7.0</v>
      </c>
      <c r="B14" s="159" t="s">
        <v>18</v>
      </c>
      <c r="C14" s="150">
        <v>0.34930555555555554</v>
      </c>
      <c r="D14" s="5"/>
      <c r="E14" s="150">
        <v>0.5041666666666667</v>
      </c>
      <c r="F14" s="5"/>
      <c r="G14" s="150">
        <v>0.5458333333333333</v>
      </c>
      <c r="H14" s="5"/>
      <c r="I14" s="150">
        <v>0.7486111111111111</v>
      </c>
      <c r="J14" s="5"/>
      <c r="K14" s="6"/>
      <c r="L14" s="90">
        <f t="shared" si="2"/>
        <v>0.3576388889</v>
      </c>
      <c r="M14" s="92">
        <f t="shared" si="3"/>
        <v>0.02430555556</v>
      </c>
      <c r="N14" s="91">
        <f t="shared" si="4"/>
        <v>0</v>
      </c>
      <c r="S14" s="13"/>
      <c r="T14" s="29"/>
      <c r="U14" s="29"/>
      <c r="V14" s="93" t="s">
        <v>27</v>
      </c>
      <c r="W14" s="94">
        <v>0.11041666666666666</v>
      </c>
      <c r="X14" s="95"/>
      <c r="Y14" s="95"/>
      <c r="Z14" s="13"/>
    </row>
    <row r="15">
      <c r="A15" s="149">
        <v>8.0</v>
      </c>
      <c r="B15" s="159" t="s">
        <v>19</v>
      </c>
      <c r="C15" s="150">
        <v>0.34930555555555554</v>
      </c>
      <c r="D15" s="5"/>
      <c r="E15" s="151">
        <v>0.5020833333333333</v>
      </c>
      <c r="F15" s="5"/>
      <c r="G15" s="151">
        <v>0.5444444444444444</v>
      </c>
      <c r="H15" s="5"/>
      <c r="I15" s="151">
        <v>0.7486111111111111</v>
      </c>
      <c r="J15" s="5"/>
      <c r="K15" s="6"/>
      <c r="L15" s="90">
        <f t="shared" si="2"/>
        <v>0.3569444444</v>
      </c>
      <c r="M15" s="92">
        <f t="shared" si="3"/>
        <v>0.02361111111</v>
      </c>
      <c r="N15" s="91">
        <f t="shared" si="4"/>
        <v>0</v>
      </c>
      <c r="S15" s="29"/>
      <c r="T15" s="29"/>
      <c r="U15" s="29"/>
      <c r="V15" s="29"/>
      <c r="W15" s="37"/>
      <c r="X15" s="35"/>
      <c r="Y15" s="13"/>
      <c r="Z15" s="13"/>
    </row>
    <row r="16">
      <c r="A16" s="149">
        <v>9.0</v>
      </c>
      <c r="B16" s="155" t="s">
        <v>20</v>
      </c>
      <c r="C16" s="150">
        <v>0.3486111111111111</v>
      </c>
      <c r="D16" s="5"/>
      <c r="E16" s="150">
        <v>0.4951388888888889</v>
      </c>
      <c r="F16" s="5"/>
      <c r="G16" s="150">
        <v>0.5375</v>
      </c>
      <c r="H16" s="5"/>
      <c r="I16" s="150">
        <v>0.75</v>
      </c>
      <c r="J16" s="5"/>
      <c r="K16" s="6"/>
      <c r="L16" s="90">
        <f t="shared" si="2"/>
        <v>0.3590277778</v>
      </c>
      <c r="M16" s="92">
        <f t="shared" si="3"/>
        <v>0.02569444444</v>
      </c>
      <c r="N16" s="91">
        <f t="shared" si="4"/>
        <v>0</v>
      </c>
      <c r="S16" s="13"/>
      <c r="T16" s="29"/>
      <c r="U16" s="29"/>
      <c r="V16" s="13"/>
      <c r="W16" s="13"/>
      <c r="X16" s="13"/>
      <c r="Y16" s="13"/>
      <c r="Z16" s="13"/>
    </row>
    <row r="17">
      <c r="A17" s="149">
        <v>10.0</v>
      </c>
      <c r="B17" s="158" t="s">
        <v>21</v>
      </c>
      <c r="C17" s="150">
        <v>0.3326388888888889</v>
      </c>
      <c r="D17" s="5"/>
      <c r="E17" s="150"/>
      <c r="F17" s="5"/>
      <c r="G17" s="150"/>
      <c r="H17" s="5"/>
      <c r="I17" s="150">
        <v>0.5041666666666667</v>
      </c>
      <c r="J17" s="5"/>
      <c r="K17" s="6"/>
      <c r="L17" s="90">
        <f t="shared" si="2"/>
        <v>0.1715277778</v>
      </c>
      <c r="M17" s="91">
        <f t="shared" si="3"/>
        <v>0</v>
      </c>
      <c r="N17" s="91"/>
      <c r="S17" s="13"/>
      <c r="T17" s="35"/>
      <c r="U17" s="29"/>
      <c r="V17" s="13"/>
      <c r="W17" s="13"/>
      <c r="X17" s="13"/>
      <c r="Y17" s="13"/>
      <c r="Z17" s="13"/>
    </row>
    <row r="18">
      <c r="A18" s="149">
        <v>11.0</v>
      </c>
      <c r="B18" s="159" t="s">
        <v>23</v>
      </c>
      <c r="C18" s="150"/>
      <c r="D18" s="5"/>
      <c r="E18" s="150"/>
      <c r="F18" s="5"/>
      <c r="G18" s="150"/>
      <c r="H18" s="5"/>
      <c r="I18" s="150"/>
      <c r="J18" s="5"/>
      <c r="K18" s="6"/>
      <c r="L18" s="90">
        <f t="shared" si="2"/>
        <v>0</v>
      </c>
      <c r="M18" s="91">
        <f t="shared" si="3"/>
        <v>0</v>
      </c>
      <c r="N18" s="90">
        <v>0.0</v>
      </c>
      <c r="S18" s="13"/>
      <c r="T18" s="29"/>
      <c r="U18" s="29"/>
      <c r="V18" s="29"/>
      <c r="W18" s="37"/>
      <c r="X18" s="35"/>
      <c r="Y18" s="13"/>
      <c r="Z18" s="13"/>
    </row>
    <row r="19">
      <c r="A19" s="149">
        <v>12.0</v>
      </c>
      <c r="B19" s="155" t="s">
        <v>24</v>
      </c>
      <c r="C19" s="150">
        <v>0.3486111111111111</v>
      </c>
      <c r="D19" s="5"/>
      <c r="E19" s="150">
        <v>0.5006944444444444</v>
      </c>
      <c r="F19" s="5"/>
      <c r="G19" s="150">
        <v>0.5423611111111111</v>
      </c>
      <c r="H19" s="5"/>
      <c r="I19" s="150">
        <v>0.75</v>
      </c>
      <c r="J19" s="5"/>
      <c r="K19" s="6"/>
      <c r="L19" s="90">
        <f t="shared" si="2"/>
        <v>0.3597222222</v>
      </c>
      <c r="M19" s="92">
        <f t="shared" si="3"/>
        <v>0.02638888889</v>
      </c>
      <c r="N19" s="91">
        <f t="shared" ref="N19:N22" si="5">+IF(($M$3-L19)&gt;$M$4,$M$3-L19,0)</f>
        <v>0</v>
      </c>
      <c r="S19" s="13"/>
      <c r="T19" s="29"/>
      <c r="U19" s="29"/>
      <c r="V19" s="29"/>
      <c r="W19" s="37"/>
      <c r="X19" s="35"/>
      <c r="Y19" s="13"/>
      <c r="Z19" s="13"/>
    </row>
    <row r="20">
      <c r="A20" s="149">
        <v>13.0</v>
      </c>
      <c r="B20" s="158" t="s">
        <v>58</v>
      </c>
      <c r="C20" s="150">
        <v>0.34930555555555554</v>
      </c>
      <c r="D20" s="5"/>
      <c r="E20" s="150">
        <v>0.5097222222222222</v>
      </c>
      <c r="F20" s="5"/>
      <c r="G20" s="150">
        <v>0.5513888888888889</v>
      </c>
      <c r="H20" s="5"/>
      <c r="I20" s="150">
        <v>0.7444444444444445</v>
      </c>
      <c r="J20" s="5"/>
      <c r="K20" s="6"/>
      <c r="L20" s="90">
        <f t="shared" si="2"/>
        <v>0.3534722222</v>
      </c>
      <c r="M20" s="92">
        <f t="shared" si="3"/>
        <v>0.02013888889</v>
      </c>
      <c r="N20" s="91">
        <f t="shared" si="5"/>
        <v>0</v>
      </c>
      <c r="S20" s="13"/>
      <c r="T20" s="29"/>
      <c r="U20" s="29"/>
      <c r="V20" s="93" t="s">
        <v>27</v>
      </c>
      <c r="W20" s="94">
        <v>0.2534722222222222</v>
      </c>
      <c r="X20" s="95"/>
      <c r="Y20" s="95"/>
      <c r="Z20" s="13"/>
    </row>
    <row r="21">
      <c r="A21" s="149">
        <v>14.0</v>
      </c>
      <c r="B21" s="159" t="s">
        <v>18</v>
      </c>
      <c r="C21" s="161" t="s">
        <v>103</v>
      </c>
      <c r="D21" s="5"/>
      <c r="E21" s="150">
        <v>0.5069444444444444</v>
      </c>
      <c r="F21" s="5"/>
      <c r="G21" s="150">
        <v>0.55</v>
      </c>
      <c r="H21" s="5"/>
      <c r="I21" s="150">
        <v>0.7430555555555556</v>
      </c>
      <c r="J21" s="5"/>
      <c r="K21" s="6"/>
      <c r="L21" s="89" t="str">
        <f t="shared" si="2"/>
        <v>#VALUE!</v>
      </c>
      <c r="M21" s="91" t="str">
        <f t="shared" si="3"/>
        <v>#VALUE!</v>
      </c>
      <c r="N21" s="91" t="str">
        <f t="shared" si="5"/>
        <v>#VALUE!</v>
      </c>
      <c r="S21" s="29"/>
      <c r="T21" s="96"/>
      <c r="U21" s="29"/>
      <c r="V21" s="29"/>
      <c r="W21" s="37"/>
      <c r="X21" s="35"/>
      <c r="Y21" s="13"/>
      <c r="Z21" s="13"/>
    </row>
    <row r="22">
      <c r="A22" s="149">
        <v>15.0</v>
      </c>
      <c r="B22" s="159" t="s">
        <v>19</v>
      </c>
      <c r="C22" s="152">
        <v>0.35138888888888886</v>
      </c>
      <c r="D22" s="5"/>
      <c r="E22" s="152">
        <v>0.5</v>
      </c>
      <c r="F22" s="5"/>
      <c r="G22" s="152">
        <v>0.5416666666666666</v>
      </c>
      <c r="H22" s="5"/>
      <c r="I22" s="152">
        <v>0.7451388888888889</v>
      </c>
      <c r="J22" s="5"/>
      <c r="K22" s="124"/>
      <c r="L22" s="90">
        <f t="shared" si="2"/>
        <v>0.3520833333</v>
      </c>
      <c r="M22" s="92">
        <f t="shared" si="3"/>
        <v>0.01875</v>
      </c>
      <c r="N22" s="91">
        <f t="shared" si="5"/>
        <v>0</v>
      </c>
      <c r="S22" s="29"/>
      <c r="T22" s="29"/>
      <c r="U22" s="29"/>
      <c r="V22" s="29"/>
      <c r="W22" s="31"/>
      <c r="X22" s="35"/>
      <c r="Y22" s="13"/>
      <c r="Z22" s="13"/>
    </row>
    <row r="23">
      <c r="A23" s="149">
        <v>16.0</v>
      </c>
      <c r="B23" s="158" t="s">
        <v>20</v>
      </c>
      <c r="C23" s="154" t="s">
        <v>67</v>
      </c>
      <c r="D23" s="15"/>
      <c r="E23" s="15"/>
      <c r="F23" s="15"/>
      <c r="G23" s="15"/>
      <c r="H23" s="15"/>
      <c r="I23" s="15"/>
      <c r="J23" s="5"/>
      <c r="K23" s="6"/>
      <c r="L23" s="90">
        <v>0.0</v>
      </c>
      <c r="M23" s="89">
        <v>0.0</v>
      </c>
      <c r="N23" s="90">
        <v>0.0</v>
      </c>
      <c r="S23" s="13"/>
      <c r="T23" s="29"/>
      <c r="U23" s="29"/>
      <c r="V23" s="93" t="s">
        <v>27</v>
      </c>
      <c r="W23" s="94">
        <v>0.2951388888888889</v>
      </c>
      <c r="X23" s="95"/>
      <c r="Y23" s="95"/>
      <c r="Z23" s="13"/>
    </row>
    <row r="24">
      <c r="A24" s="149">
        <v>17.0</v>
      </c>
      <c r="B24" s="159" t="s">
        <v>21</v>
      </c>
      <c r="C24" s="150">
        <v>0.3597222222222222</v>
      </c>
      <c r="D24" s="5"/>
      <c r="E24" s="150"/>
      <c r="F24" s="5"/>
      <c r="G24" s="150"/>
      <c r="H24" s="5"/>
      <c r="I24" s="150">
        <v>0.4979166666666667</v>
      </c>
      <c r="J24" s="5"/>
      <c r="K24" s="6"/>
      <c r="L24" s="90">
        <f t="shared" ref="L24:L38" si="6">(E24-C24)+(I24-G24)</f>
        <v>0.1381944444</v>
      </c>
      <c r="M24" s="91">
        <f t="shared" ref="M24:M30" si="7">IF((L24-$M$3)&gt;$M$4,L24-$M$3,0)</f>
        <v>0</v>
      </c>
      <c r="N24" s="90">
        <v>0.02847222222222222</v>
      </c>
      <c r="S24" s="13"/>
      <c r="T24" s="29"/>
      <c r="U24" s="29"/>
      <c r="V24" s="29"/>
      <c r="W24" s="29"/>
      <c r="X24" s="35"/>
      <c r="Y24" s="13"/>
      <c r="Z24" s="13"/>
    </row>
    <row r="25">
      <c r="A25" s="149">
        <v>18.0</v>
      </c>
      <c r="B25" s="159" t="s">
        <v>23</v>
      </c>
      <c r="C25" s="150"/>
      <c r="D25" s="5"/>
      <c r="E25" s="150"/>
      <c r="F25" s="5"/>
      <c r="G25" s="150"/>
      <c r="H25" s="5"/>
      <c r="I25" s="150"/>
      <c r="J25" s="5"/>
      <c r="K25" s="6"/>
      <c r="L25" s="90">
        <f t="shared" si="6"/>
        <v>0</v>
      </c>
      <c r="M25" s="91">
        <f t="shared" si="7"/>
        <v>0</v>
      </c>
      <c r="N25" s="89">
        <v>0.0</v>
      </c>
      <c r="S25" s="13"/>
      <c r="T25" s="29"/>
      <c r="U25" s="29"/>
      <c r="V25" s="13"/>
      <c r="W25" s="13"/>
      <c r="X25" s="13"/>
      <c r="Y25" s="13"/>
      <c r="Z25" s="13"/>
    </row>
    <row r="26">
      <c r="A26" s="149">
        <v>19.0</v>
      </c>
      <c r="B26" s="158" t="s">
        <v>24</v>
      </c>
      <c r="C26" s="150">
        <v>0.35694444444444445</v>
      </c>
      <c r="D26" s="5"/>
      <c r="E26" s="150">
        <v>0.5</v>
      </c>
      <c r="F26" s="5"/>
      <c r="G26" s="150">
        <v>0.5416666666666666</v>
      </c>
      <c r="H26" s="5"/>
      <c r="I26" s="150">
        <v>0.7527777777777778</v>
      </c>
      <c r="J26" s="5"/>
      <c r="K26" s="127"/>
      <c r="L26" s="90">
        <f t="shared" si="6"/>
        <v>0.3541666667</v>
      </c>
      <c r="M26" s="92">
        <f t="shared" si="7"/>
        <v>0.02083333333</v>
      </c>
      <c r="N26" s="91">
        <f t="shared" ref="N26:N30" si="8">+IF(($M$3-L26)&gt;$M$4,$M$3-L26,0)</f>
        <v>0</v>
      </c>
      <c r="S26" s="29"/>
      <c r="T26" s="29"/>
      <c r="U26" s="29"/>
      <c r="V26" s="29"/>
      <c r="W26" s="37"/>
      <c r="X26" s="35"/>
      <c r="Y26" s="13"/>
      <c r="Z26" s="13"/>
    </row>
    <row r="27">
      <c r="A27" s="149">
        <v>20.0</v>
      </c>
      <c r="B27" s="159" t="s">
        <v>58</v>
      </c>
      <c r="C27" s="151">
        <v>0.35</v>
      </c>
      <c r="D27" s="5"/>
      <c r="E27" s="151">
        <v>0.5</v>
      </c>
      <c r="F27" s="5"/>
      <c r="G27" s="151">
        <v>0.5416666666666666</v>
      </c>
      <c r="H27" s="5"/>
      <c r="I27" s="151">
        <v>0.7506944444444444</v>
      </c>
      <c r="J27" s="5"/>
      <c r="K27" s="6"/>
      <c r="L27" s="90">
        <f t="shared" si="6"/>
        <v>0.3590277778</v>
      </c>
      <c r="M27" s="92">
        <f t="shared" si="7"/>
        <v>0.02569444444</v>
      </c>
      <c r="N27" s="91">
        <f t="shared" si="8"/>
        <v>0</v>
      </c>
      <c r="S27" s="13"/>
      <c r="T27" s="29"/>
      <c r="U27" s="29"/>
      <c r="V27" s="13"/>
      <c r="W27" s="13"/>
      <c r="X27" s="13"/>
      <c r="Y27" s="13"/>
      <c r="Z27" s="13"/>
    </row>
    <row r="28">
      <c r="A28" s="149">
        <v>21.0</v>
      </c>
      <c r="B28" s="159" t="s">
        <v>18</v>
      </c>
      <c r="C28" s="151">
        <v>0.36736111111111114</v>
      </c>
      <c r="D28" s="5"/>
      <c r="E28" s="151">
        <v>0.54375</v>
      </c>
      <c r="F28" s="5"/>
      <c r="G28" s="151">
        <v>0.5854166666666667</v>
      </c>
      <c r="H28" s="5"/>
      <c r="I28" s="151">
        <v>0.7458333333333333</v>
      </c>
      <c r="J28" s="5"/>
      <c r="K28" s="6"/>
      <c r="L28" s="90">
        <f t="shared" si="6"/>
        <v>0.3368055556</v>
      </c>
      <c r="M28" s="91">
        <f t="shared" si="7"/>
        <v>0</v>
      </c>
      <c r="N28" s="91">
        <f t="shared" si="8"/>
        <v>0</v>
      </c>
      <c r="S28" s="13"/>
      <c r="T28" s="29"/>
      <c r="U28" s="39"/>
      <c r="V28" s="93" t="s">
        <v>27</v>
      </c>
      <c r="W28" s="94">
        <v>0.38055555555555554</v>
      </c>
      <c r="X28" s="93" t="s">
        <v>70</v>
      </c>
      <c r="Y28" s="95"/>
      <c r="Z28" s="13"/>
    </row>
    <row r="29">
      <c r="A29" s="149">
        <v>22.0</v>
      </c>
      <c r="B29" s="159" t="s">
        <v>19</v>
      </c>
      <c r="C29" s="150">
        <v>0.35555555555555557</v>
      </c>
      <c r="D29" s="5"/>
      <c r="E29" s="150">
        <v>0.5416666666666666</v>
      </c>
      <c r="F29" s="5"/>
      <c r="G29" s="150">
        <v>0.5840277777777778</v>
      </c>
      <c r="H29" s="5"/>
      <c r="I29" s="150">
        <v>0.74375</v>
      </c>
      <c r="J29" s="5"/>
      <c r="K29" s="145"/>
      <c r="L29" s="90">
        <f t="shared" si="6"/>
        <v>0.3458333333</v>
      </c>
      <c r="M29" s="92">
        <f t="shared" si="7"/>
        <v>0.0125</v>
      </c>
      <c r="N29" s="91">
        <f t="shared" si="8"/>
        <v>0</v>
      </c>
      <c r="O29" s="13"/>
      <c r="P29" s="13"/>
      <c r="Q29" s="13"/>
      <c r="R29" s="13"/>
      <c r="S29" s="13"/>
    </row>
    <row r="30">
      <c r="A30" s="149">
        <v>23.0</v>
      </c>
      <c r="B30" s="158" t="s">
        <v>20</v>
      </c>
      <c r="C30" s="150">
        <v>0.3548611111111111</v>
      </c>
      <c r="D30" s="5"/>
      <c r="E30" s="150">
        <v>0.5013888888888889</v>
      </c>
      <c r="F30" s="5"/>
      <c r="G30" s="150">
        <v>0.5430555555555555</v>
      </c>
      <c r="H30" s="5"/>
      <c r="I30" s="150">
        <v>0.75</v>
      </c>
      <c r="J30" s="5"/>
      <c r="K30" s="6"/>
      <c r="L30" s="90">
        <f t="shared" si="6"/>
        <v>0.3534722222</v>
      </c>
      <c r="M30" s="92">
        <f t="shared" si="7"/>
        <v>0.02013888889</v>
      </c>
      <c r="N30" s="91">
        <f t="shared" si="8"/>
        <v>0</v>
      </c>
      <c r="Q30" s="13"/>
      <c r="R30" s="13"/>
      <c r="S30" s="29"/>
    </row>
    <row r="31">
      <c r="A31" s="149">
        <v>24.0</v>
      </c>
      <c r="B31" s="159" t="s">
        <v>21</v>
      </c>
      <c r="C31" s="150">
        <v>0.34097222222222223</v>
      </c>
      <c r="D31" s="5"/>
      <c r="E31" s="153"/>
      <c r="F31" s="5"/>
      <c r="G31" s="150"/>
      <c r="H31" s="5"/>
      <c r="I31" s="150">
        <v>0.5013888888888889</v>
      </c>
      <c r="J31" s="5"/>
      <c r="K31" s="6"/>
      <c r="L31" s="90">
        <f t="shared" si="6"/>
        <v>0.1604166667</v>
      </c>
      <c r="M31" s="91"/>
      <c r="N31" s="90">
        <v>0.00625</v>
      </c>
      <c r="O31" s="29"/>
      <c r="P31" s="13"/>
      <c r="Q31" s="13"/>
      <c r="R31" s="13"/>
      <c r="S31" s="13"/>
    </row>
    <row r="32">
      <c r="A32" s="149">
        <v>25.0</v>
      </c>
      <c r="B32" s="159" t="s">
        <v>23</v>
      </c>
      <c r="C32" s="150"/>
      <c r="D32" s="5"/>
      <c r="E32" s="150"/>
      <c r="F32" s="5"/>
      <c r="G32" s="150"/>
      <c r="H32" s="5"/>
      <c r="I32" s="150"/>
      <c r="J32" s="5"/>
      <c r="K32" s="6"/>
      <c r="L32" s="90">
        <f t="shared" si="6"/>
        <v>0</v>
      </c>
      <c r="M32" s="91">
        <f t="shared" ref="M32:M36" si="9">IF((L32-$M$3)&gt;$M$4,L32-$M$3,0)</f>
        <v>0</v>
      </c>
      <c r="N32" s="89">
        <v>0.0</v>
      </c>
      <c r="O32" s="31"/>
      <c r="P32" s="35"/>
      <c r="Q32" s="13"/>
      <c r="R32" s="13"/>
      <c r="S32" s="29"/>
    </row>
    <row r="33">
      <c r="A33" s="149">
        <v>26.0</v>
      </c>
      <c r="B33" s="159" t="s">
        <v>24</v>
      </c>
      <c r="C33" s="150">
        <v>0.34305555555555556</v>
      </c>
      <c r="D33" s="5"/>
      <c r="E33" s="150">
        <v>0.5430555555555555</v>
      </c>
      <c r="F33" s="5"/>
      <c r="G33" s="150">
        <v>0.5840277777777778</v>
      </c>
      <c r="H33" s="5"/>
      <c r="I33" s="150">
        <v>0.7472222222222222</v>
      </c>
      <c r="J33" s="5"/>
      <c r="K33" s="6"/>
      <c r="L33" s="90">
        <f t="shared" si="6"/>
        <v>0.3631944444</v>
      </c>
      <c r="M33" s="92">
        <f t="shared" si="9"/>
        <v>0.02986111111</v>
      </c>
      <c r="N33" s="91">
        <f t="shared" ref="N33:N36" si="10">+IF(($M$3-L33)&gt;$M$4,$M$3-L33,0)</f>
        <v>0</v>
      </c>
      <c r="O33" s="31"/>
      <c r="P33" s="35"/>
      <c r="Q33" s="13"/>
      <c r="R33" s="13"/>
      <c r="S33" s="13"/>
    </row>
    <row r="34">
      <c r="A34" s="149">
        <v>27.0</v>
      </c>
      <c r="B34" s="159" t="s">
        <v>58</v>
      </c>
      <c r="C34" s="150">
        <v>0.34930555555555554</v>
      </c>
      <c r="D34" s="5"/>
      <c r="E34" s="151">
        <v>0.5111111111111111</v>
      </c>
      <c r="F34" s="5"/>
      <c r="G34" s="151">
        <v>0.5527777777777778</v>
      </c>
      <c r="H34" s="5"/>
      <c r="I34" s="151">
        <v>0.7472222222222222</v>
      </c>
      <c r="J34" s="5"/>
      <c r="K34" s="6"/>
      <c r="L34" s="90">
        <f t="shared" si="6"/>
        <v>0.35625</v>
      </c>
      <c r="M34" s="92">
        <f t="shared" si="9"/>
        <v>0.02291666667</v>
      </c>
      <c r="N34" s="91">
        <f t="shared" si="10"/>
        <v>0</v>
      </c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9" t="s">
        <v>18</v>
      </c>
      <c r="C35" s="150">
        <v>0.3486111111111111</v>
      </c>
      <c r="D35" s="5"/>
      <c r="E35" s="150">
        <v>0.5</v>
      </c>
      <c r="F35" s="5"/>
      <c r="G35" s="150">
        <v>0.5416666666666666</v>
      </c>
      <c r="H35" s="5"/>
      <c r="I35" s="150">
        <v>0.7534722222222222</v>
      </c>
      <c r="J35" s="5"/>
      <c r="L35" s="90">
        <f t="shared" si="6"/>
        <v>0.3631944444</v>
      </c>
      <c r="M35" s="92">
        <f t="shared" si="9"/>
        <v>0.02986111111</v>
      </c>
      <c r="N35" s="91">
        <f t="shared" si="10"/>
        <v>0</v>
      </c>
      <c r="O35" s="37"/>
      <c r="P35" s="35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19</v>
      </c>
      <c r="C36" s="150">
        <v>0.35</v>
      </c>
      <c r="D36" s="5"/>
      <c r="E36" s="150">
        <v>0.5041666666666667</v>
      </c>
      <c r="F36" s="5"/>
      <c r="G36" s="150">
        <v>0.55</v>
      </c>
      <c r="H36" s="5"/>
      <c r="I36" s="150">
        <v>0.7472222222222222</v>
      </c>
      <c r="J36" s="5"/>
      <c r="K36" s="6"/>
      <c r="L36" s="90">
        <f t="shared" si="6"/>
        <v>0.3513888889</v>
      </c>
      <c r="M36" s="92">
        <f t="shared" si="9"/>
        <v>0.01805555556</v>
      </c>
      <c r="N36" s="91">
        <f t="shared" si="10"/>
        <v>0</v>
      </c>
      <c r="O36" s="93" t="s">
        <v>118</v>
      </c>
      <c r="P36" s="142" t="s">
        <v>106</v>
      </c>
      <c r="Q36" s="13"/>
      <c r="R36" s="13"/>
      <c r="S36" s="13"/>
    </row>
    <row r="37">
      <c r="A37" s="163">
        <v>30.0</v>
      </c>
      <c r="B37" s="159" t="s">
        <v>20</v>
      </c>
      <c r="C37" s="150">
        <v>0.35208333333333336</v>
      </c>
      <c r="D37" s="5"/>
      <c r="E37" s="150">
        <v>0.5</v>
      </c>
      <c r="F37" s="5"/>
      <c r="G37" s="150">
        <v>0.5416666666666666</v>
      </c>
      <c r="H37" s="5"/>
      <c r="I37" s="150">
        <v>0.7444444444444445</v>
      </c>
      <c r="J37" s="5"/>
      <c r="K37" s="6"/>
      <c r="L37" s="90">
        <f t="shared" si="6"/>
        <v>0.3506944444</v>
      </c>
      <c r="M37" s="90">
        <v>0.017361111111111112</v>
      </c>
      <c r="N37" s="89">
        <v>0.0</v>
      </c>
      <c r="O37" s="97">
        <v>0.017361111111111112</v>
      </c>
      <c r="P37" s="35"/>
      <c r="Q37" s="13"/>
      <c r="R37" s="13"/>
      <c r="S37" s="29"/>
    </row>
    <row r="38">
      <c r="A38" s="163">
        <v>31.0</v>
      </c>
      <c r="B38" s="159" t="s">
        <v>21</v>
      </c>
      <c r="C38" s="150">
        <v>0.3527777777777778</v>
      </c>
      <c r="D38" s="5"/>
      <c r="E38" s="150"/>
      <c r="F38" s="5"/>
      <c r="G38" s="150"/>
      <c r="H38" s="5"/>
      <c r="I38" s="150">
        <v>0.5069444444444444</v>
      </c>
      <c r="J38" s="5"/>
      <c r="K38" s="6"/>
      <c r="L38" s="90">
        <f t="shared" si="6"/>
        <v>0.1541666667</v>
      </c>
      <c r="M38" s="90">
        <v>0.0</v>
      </c>
      <c r="N38" s="89">
        <v>0.0</v>
      </c>
      <c r="O38" s="97"/>
      <c r="P38" s="13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4" t="str">
        <f>SUM(M8:M38)</f>
        <v>#VALUE!</v>
      </c>
      <c r="N39" s="82"/>
      <c r="O39" s="29"/>
      <c r="P39" s="13"/>
      <c r="Q39" s="13"/>
      <c r="R39" s="13"/>
      <c r="S39" s="13"/>
    </row>
    <row r="40">
      <c r="A40" s="146" t="s">
        <v>119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07" t="s">
        <v>120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35"/>
      <c r="N41" s="13"/>
      <c r="O41" s="35"/>
      <c r="P41" s="29"/>
      <c r="Q41" s="13"/>
      <c r="R41" s="13"/>
      <c r="S41" s="13"/>
    </row>
    <row r="42">
      <c r="A42" s="132" t="s">
        <v>121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L43" s="13"/>
      <c r="M43" s="29"/>
      <c r="N43" s="13"/>
      <c r="O43" s="13"/>
      <c r="P43" s="13"/>
      <c r="Q43" s="13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</sheetData>
  <mergeCells count="134">
    <mergeCell ref="C15:D15"/>
    <mergeCell ref="E15:F15"/>
    <mergeCell ref="G15:H15"/>
    <mergeCell ref="I15:J15"/>
    <mergeCell ref="E16:F16"/>
    <mergeCell ref="G16:H16"/>
    <mergeCell ref="I16:J16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J8"/>
    <mergeCell ref="C9:J9"/>
    <mergeCell ref="C10:J10"/>
    <mergeCell ref="C11:J11"/>
    <mergeCell ref="E12:F12"/>
    <mergeCell ref="G12:H12"/>
    <mergeCell ref="I12:J12"/>
    <mergeCell ref="G14:H14"/>
    <mergeCell ref="I14:J14"/>
    <mergeCell ref="C12:D12"/>
    <mergeCell ref="C13:D13"/>
    <mergeCell ref="E13:F13"/>
    <mergeCell ref="G13:H13"/>
    <mergeCell ref="I13:J13"/>
    <mergeCell ref="C14:D14"/>
    <mergeCell ref="E14:F14"/>
    <mergeCell ref="G18:H18"/>
    <mergeCell ref="I18:J18"/>
    <mergeCell ref="G22:H22"/>
    <mergeCell ref="I22:J22"/>
    <mergeCell ref="C27:D27"/>
    <mergeCell ref="C28:D28"/>
    <mergeCell ref="E28:F28"/>
    <mergeCell ref="G28:H28"/>
    <mergeCell ref="I28:J28"/>
    <mergeCell ref="C29:D29"/>
    <mergeCell ref="E29:F29"/>
    <mergeCell ref="C30:D30"/>
    <mergeCell ref="E30:F30"/>
    <mergeCell ref="G30:H30"/>
    <mergeCell ref="I30:J30"/>
    <mergeCell ref="E31:F31"/>
    <mergeCell ref="G31:H31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E22:F22"/>
    <mergeCell ref="C23:J23"/>
    <mergeCell ref="G25:H25"/>
    <mergeCell ref="I25:J25"/>
    <mergeCell ref="C22:D22"/>
    <mergeCell ref="C24:D24"/>
    <mergeCell ref="E24:F24"/>
    <mergeCell ref="G24:H24"/>
    <mergeCell ref="I24:J24"/>
    <mergeCell ref="C25:D25"/>
    <mergeCell ref="E25:F25"/>
    <mergeCell ref="C26:D26"/>
    <mergeCell ref="E26:F26"/>
    <mergeCell ref="G26:H26"/>
    <mergeCell ref="I26:J26"/>
    <mergeCell ref="E27:F27"/>
    <mergeCell ref="G27:H27"/>
    <mergeCell ref="I27:J27"/>
    <mergeCell ref="G29:H29"/>
    <mergeCell ref="I29:J29"/>
    <mergeCell ref="G37:H37"/>
    <mergeCell ref="I37:J37"/>
    <mergeCell ref="C38:D38"/>
    <mergeCell ref="E38:F38"/>
    <mergeCell ref="G38:H38"/>
    <mergeCell ref="I38:J3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  <c r="L5" s="13"/>
      <c r="M5" s="13"/>
      <c r="N5" s="13"/>
    </row>
    <row r="6">
      <c r="A6" s="66" t="s">
        <v>10</v>
      </c>
      <c r="B6" s="123" t="s">
        <v>122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/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</row>
    <row r="8">
      <c r="A8" s="148">
        <v>1.0</v>
      </c>
      <c r="B8" s="155" t="s">
        <v>24</v>
      </c>
      <c r="C8" s="151">
        <v>0.3451388888888889</v>
      </c>
      <c r="D8" s="5"/>
      <c r="E8" s="151">
        <v>0.5465277777777777</v>
      </c>
      <c r="F8" s="5"/>
      <c r="G8" s="151">
        <v>0.5881944444444445</v>
      </c>
      <c r="H8" s="5"/>
      <c r="I8" s="151">
        <v>0.7479166666666667</v>
      </c>
      <c r="J8" s="5"/>
      <c r="K8" s="6"/>
      <c r="L8" s="90">
        <f t="shared" ref="L8:L10" si="1">(E8-C8)+(I8-G8)</f>
        <v>0.3611111111</v>
      </c>
      <c r="M8" s="92">
        <f t="shared" ref="M8:M10" si="2">IF((L8-$M$3)&gt;$M$4,L8-$M$3,0)</f>
        <v>0.02777777778</v>
      </c>
      <c r="N8" s="91">
        <f t="shared" ref="N8:N10" si="3">+IF(($M$3-L8)&gt;$M$4,$M$3-L8,0)</f>
        <v>0</v>
      </c>
      <c r="S8" s="13"/>
      <c r="T8" s="29"/>
      <c r="U8" s="29"/>
      <c r="V8" s="13"/>
      <c r="W8" s="13"/>
      <c r="X8" s="13"/>
      <c r="Y8" s="13"/>
      <c r="Z8" s="13"/>
    </row>
    <row r="9">
      <c r="A9" s="149">
        <v>2.0</v>
      </c>
      <c r="B9" s="155" t="s">
        <v>58</v>
      </c>
      <c r="C9" s="151">
        <v>0.34652777777777777</v>
      </c>
      <c r="D9" s="5"/>
      <c r="E9" s="151">
        <v>0.5444444444444444</v>
      </c>
      <c r="F9" s="5"/>
      <c r="G9" s="151">
        <v>0.5847222222222223</v>
      </c>
      <c r="H9" s="5"/>
      <c r="I9" s="151">
        <v>0.7520833333333333</v>
      </c>
      <c r="J9" s="5"/>
      <c r="K9" s="6"/>
      <c r="L9" s="90">
        <f t="shared" si="1"/>
        <v>0.3652777778</v>
      </c>
      <c r="M9" s="92">
        <f t="shared" si="2"/>
        <v>0.03194444444</v>
      </c>
      <c r="N9" s="91">
        <f t="shared" si="3"/>
        <v>0</v>
      </c>
      <c r="S9" s="13"/>
      <c r="T9" s="29"/>
      <c r="U9" s="29"/>
      <c r="V9" s="13"/>
      <c r="W9" s="13"/>
      <c r="X9" s="13"/>
      <c r="Y9" s="13"/>
      <c r="Z9" s="13"/>
    </row>
    <row r="10">
      <c r="A10" s="149">
        <v>3.0</v>
      </c>
      <c r="B10" s="158" t="s">
        <v>18</v>
      </c>
      <c r="C10" s="150">
        <v>0.34444444444444444</v>
      </c>
      <c r="D10" s="5"/>
      <c r="E10" s="150">
        <v>0.5</v>
      </c>
      <c r="F10" s="5"/>
      <c r="G10" s="150">
        <v>0.5416666666666666</v>
      </c>
      <c r="H10" s="5"/>
      <c r="I10" s="150">
        <v>0.7479166666666667</v>
      </c>
      <c r="J10" s="5"/>
      <c r="K10" s="6"/>
      <c r="L10" s="90">
        <f t="shared" si="1"/>
        <v>0.3618055556</v>
      </c>
      <c r="M10" s="92">
        <f t="shared" si="2"/>
        <v>0.02847222222</v>
      </c>
      <c r="N10" s="91">
        <f t="shared" si="3"/>
        <v>0</v>
      </c>
      <c r="S10" s="13"/>
      <c r="T10" s="29"/>
      <c r="U10" s="29"/>
      <c r="V10" s="13"/>
      <c r="W10" s="13"/>
      <c r="X10" s="13"/>
      <c r="Y10" s="13"/>
      <c r="Z10" s="13"/>
    </row>
    <row r="11">
      <c r="A11" s="149">
        <v>4.0</v>
      </c>
      <c r="B11" s="159" t="s">
        <v>19</v>
      </c>
      <c r="C11" s="147" t="s">
        <v>123</v>
      </c>
      <c r="D11" s="15"/>
      <c r="E11" s="15"/>
      <c r="F11" s="15"/>
      <c r="G11" s="15"/>
      <c r="H11" s="15"/>
      <c r="I11" s="15"/>
      <c r="J11" s="5"/>
      <c r="K11" s="6"/>
      <c r="L11" s="90">
        <v>0.0</v>
      </c>
      <c r="M11" s="90">
        <v>0.0</v>
      </c>
      <c r="N11" s="90">
        <v>0.3333333333333333</v>
      </c>
      <c r="S11" s="13"/>
      <c r="T11" s="29"/>
      <c r="U11" s="29"/>
      <c r="V11" s="13"/>
      <c r="W11" s="13"/>
      <c r="X11" s="13"/>
      <c r="Y11" s="13"/>
      <c r="Z11" s="13"/>
    </row>
    <row r="12">
      <c r="A12" s="149">
        <v>5.0</v>
      </c>
      <c r="B12" s="155" t="s">
        <v>20</v>
      </c>
      <c r="C12" s="150">
        <v>0.35208333333333336</v>
      </c>
      <c r="D12" s="5"/>
      <c r="E12" s="153"/>
      <c r="F12" s="5"/>
      <c r="G12" s="150"/>
      <c r="H12" s="5"/>
      <c r="I12" s="150"/>
      <c r="J12" s="5"/>
      <c r="K12" s="6"/>
      <c r="L12" s="90">
        <f t="shared" ref="L12:L18" si="4">(E12-C12)+(I12-G12)</f>
        <v>-0.3520833333</v>
      </c>
      <c r="M12" s="91">
        <f>IF((L12-$M$3)&gt;$M$4,L12-$M$3,0)</f>
        <v>0</v>
      </c>
      <c r="N12" s="92">
        <f>+IF(($M$3-L12)&gt;$M$4,$M$3-L12,0)</f>
        <v>0.6854166667</v>
      </c>
      <c r="S12" s="13"/>
      <c r="T12" s="29"/>
      <c r="U12" s="29"/>
      <c r="V12" s="13"/>
      <c r="W12" s="13"/>
      <c r="X12" s="13"/>
      <c r="Y12" s="13"/>
      <c r="Z12" s="13"/>
    </row>
    <row r="13">
      <c r="A13" s="149">
        <v>6.0</v>
      </c>
      <c r="B13" s="158" t="s">
        <v>21</v>
      </c>
      <c r="C13" s="150">
        <v>0.3333333333333333</v>
      </c>
      <c r="D13" s="5"/>
      <c r="E13" s="150"/>
      <c r="F13" s="5"/>
      <c r="G13" s="150"/>
      <c r="H13" s="5"/>
      <c r="I13" s="150">
        <v>0.5055555555555555</v>
      </c>
      <c r="J13" s="5"/>
      <c r="K13" s="6"/>
      <c r="L13" s="90">
        <f t="shared" si="4"/>
        <v>0.1722222222</v>
      </c>
      <c r="M13" s="90">
        <v>0.005555555555555556</v>
      </c>
      <c r="N13" s="90">
        <v>0.0</v>
      </c>
      <c r="S13" s="29"/>
      <c r="T13" s="29"/>
      <c r="U13" s="29"/>
      <c r="V13" s="29"/>
      <c r="W13" s="37"/>
      <c r="X13" s="35"/>
      <c r="Y13" s="13"/>
      <c r="Z13" s="13"/>
    </row>
    <row r="14">
      <c r="A14" s="149">
        <v>7.0</v>
      </c>
      <c r="B14" s="159" t="s">
        <v>23</v>
      </c>
      <c r="C14" s="153"/>
      <c r="D14" s="5"/>
      <c r="E14" s="150"/>
      <c r="F14" s="5"/>
      <c r="G14" s="150"/>
      <c r="H14" s="5"/>
      <c r="I14" s="150"/>
      <c r="J14" s="5"/>
      <c r="K14" s="6"/>
      <c r="L14" s="90">
        <f t="shared" si="4"/>
        <v>0</v>
      </c>
      <c r="M14" s="91">
        <f t="shared" ref="M14:M19" si="5">IF((L14-$M$3)&gt;$M$4,L14-$M$3,0)</f>
        <v>0</v>
      </c>
      <c r="N14" s="92">
        <f t="shared" ref="N14:N19" si="6">+IF(($M$3-L14)&gt;$M$4,$M$3-L14,0)</f>
        <v>0.3333333333</v>
      </c>
      <c r="S14" s="13"/>
      <c r="T14" s="29"/>
      <c r="U14" s="29"/>
      <c r="V14" s="93" t="s">
        <v>27</v>
      </c>
      <c r="W14" s="94">
        <v>0.11041666666666666</v>
      </c>
      <c r="X14" s="95"/>
      <c r="Y14" s="95"/>
      <c r="Z14" s="13"/>
    </row>
    <row r="15">
      <c r="A15" s="149">
        <v>8.0</v>
      </c>
      <c r="B15" s="159" t="s">
        <v>24</v>
      </c>
      <c r="C15" s="150">
        <v>0.34652777777777777</v>
      </c>
      <c r="D15" s="5"/>
      <c r="E15" s="151">
        <v>0.5</v>
      </c>
      <c r="F15" s="5"/>
      <c r="G15" s="151">
        <v>0.5416666666666666</v>
      </c>
      <c r="H15" s="5"/>
      <c r="I15" s="151">
        <v>0.75</v>
      </c>
      <c r="J15" s="5"/>
      <c r="K15" s="6"/>
      <c r="L15" s="90">
        <f t="shared" si="4"/>
        <v>0.3618055556</v>
      </c>
      <c r="M15" s="92">
        <f t="shared" si="5"/>
        <v>0.02847222222</v>
      </c>
      <c r="N15" s="91">
        <f t="shared" si="6"/>
        <v>0</v>
      </c>
      <c r="S15" s="29"/>
      <c r="T15" s="29"/>
      <c r="U15" s="29"/>
      <c r="V15" s="29"/>
      <c r="W15" s="37"/>
      <c r="X15" s="35"/>
      <c r="Y15" s="13"/>
      <c r="Z15" s="13"/>
    </row>
    <row r="16">
      <c r="A16" s="149">
        <v>9.0</v>
      </c>
      <c r="B16" s="155" t="s">
        <v>58</v>
      </c>
      <c r="C16" s="150">
        <v>0.36736111111111114</v>
      </c>
      <c r="D16" s="5"/>
      <c r="E16" s="150">
        <v>0.5006944444444444</v>
      </c>
      <c r="F16" s="5"/>
      <c r="G16" s="150">
        <v>0.5423611111111111</v>
      </c>
      <c r="H16" s="5"/>
      <c r="I16" s="150">
        <v>0.7506944444444444</v>
      </c>
      <c r="J16" s="5"/>
      <c r="K16" s="6"/>
      <c r="L16" s="90">
        <f t="shared" si="4"/>
        <v>0.3416666667</v>
      </c>
      <c r="M16" s="92">
        <f t="shared" si="5"/>
        <v>0.008333333333</v>
      </c>
      <c r="N16" s="91">
        <f t="shared" si="6"/>
        <v>0</v>
      </c>
      <c r="S16" s="13"/>
      <c r="T16" s="29"/>
      <c r="U16" s="29"/>
      <c r="V16" s="13"/>
      <c r="W16" s="13"/>
      <c r="X16" s="13"/>
      <c r="Y16" s="13"/>
      <c r="Z16" s="13"/>
    </row>
    <row r="17">
      <c r="A17" s="149">
        <v>10.0</v>
      </c>
      <c r="B17" s="158" t="s">
        <v>18</v>
      </c>
      <c r="C17" s="150">
        <v>0.4222222222222222</v>
      </c>
      <c r="D17" s="5"/>
      <c r="E17" s="150">
        <v>0.5</v>
      </c>
      <c r="F17" s="5"/>
      <c r="G17" s="150">
        <v>0.5416666666666666</v>
      </c>
      <c r="H17" s="5"/>
      <c r="I17" s="150">
        <v>0.7465277777777778</v>
      </c>
      <c r="J17" s="5"/>
      <c r="K17" s="6"/>
      <c r="L17" s="90">
        <f t="shared" si="4"/>
        <v>0.2826388889</v>
      </c>
      <c r="M17" s="91">
        <f t="shared" si="5"/>
        <v>0</v>
      </c>
      <c r="N17" s="92">
        <f t="shared" si="6"/>
        <v>0.05069444444</v>
      </c>
      <c r="S17" s="13"/>
      <c r="T17" s="35"/>
      <c r="U17" s="29"/>
      <c r="V17" s="13"/>
      <c r="W17" s="13"/>
      <c r="X17" s="13"/>
      <c r="Y17" s="13"/>
      <c r="Z17" s="13"/>
    </row>
    <row r="18">
      <c r="A18" s="149">
        <v>11.0</v>
      </c>
      <c r="B18" s="159" t="s">
        <v>19</v>
      </c>
      <c r="C18" s="150">
        <v>0.36875</v>
      </c>
      <c r="D18" s="5"/>
      <c r="E18" s="150">
        <v>0.5118055555555555</v>
      </c>
      <c r="F18" s="5"/>
      <c r="G18" s="150">
        <v>0.5451388888888888</v>
      </c>
      <c r="H18" s="5"/>
      <c r="I18" s="150">
        <v>0.7520833333333333</v>
      </c>
      <c r="J18" s="5"/>
      <c r="K18" s="6"/>
      <c r="L18" s="90">
        <f t="shared" si="4"/>
        <v>0.35</v>
      </c>
      <c r="M18" s="92">
        <f t="shared" si="5"/>
        <v>0.01666666667</v>
      </c>
      <c r="N18" s="91">
        <f t="shared" si="6"/>
        <v>0</v>
      </c>
      <c r="S18" s="13"/>
      <c r="T18" s="29"/>
      <c r="U18" s="29"/>
      <c r="V18" s="29"/>
      <c r="W18" s="37"/>
      <c r="X18" s="35"/>
      <c r="Y18" s="13"/>
      <c r="Z18" s="13"/>
    </row>
    <row r="19">
      <c r="A19" s="149">
        <v>12.0</v>
      </c>
      <c r="B19" s="155" t="s">
        <v>20</v>
      </c>
      <c r="C19" s="150">
        <v>0.34444444444444444</v>
      </c>
      <c r="D19" s="5"/>
      <c r="E19" s="150">
        <v>0.5</v>
      </c>
      <c r="F19" s="5"/>
      <c r="G19" s="150">
        <v>0.5416666666666666</v>
      </c>
      <c r="H19" s="5"/>
      <c r="I19" s="150">
        <v>0.7472222222222222</v>
      </c>
      <c r="J19" s="5"/>
      <c r="K19" s="6"/>
      <c r="L19" s="90">
        <v>0.36666666666666664</v>
      </c>
      <c r="M19" s="92">
        <f t="shared" si="5"/>
        <v>0.03333333333</v>
      </c>
      <c r="N19" s="91">
        <f t="shared" si="6"/>
        <v>0</v>
      </c>
      <c r="S19" s="13"/>
      <c r="T19" s="29"/>
      <c r="U19" s="29"/>
      <c r="V19" s="29"/>
      <c r="W19" s="37"/>
      <c r="X19" s="35"/>
      <c r="Y19" s="13"/>
      <c r="Z19" s="13"/>
    </row>
    <row r="20">
      <c r="A20" s="149">
        <v>13.0</v>
      </c>
      <c r="B20" s="158" t="s">
        <v>21</v>
      </c>
      <c r="C20" s="150">
        <v>0.31666666666666665</v>
      </c>
      <c r="D20" s="5"/>
      <c r="E20" s="150"/>
      <c r="F20" s="5"/>
      <c r="G20" s="150"/>
      <c r="H20" s="5"/>
      <c r="I20" s="150">
        <v>0.5055555555555555</v>
      </c>
      <c r="J20" s="5"/>
      <c r="K20" s="6"/>
      <c r="L20" s="90">
        <f t="shared" ref="L20:L38" si="7">(E20-C20)+(I20-G20)</f>
        <v>0.1888888889</v>
      </c>
      <c r="M20" s="90">
        <v>0.022222222222222223</v>
      </c>
      <c r="N20" s="90">
        <v>0.0</v>
      </c>
      <c r="S20" s="13"/>
      <c r="T20" s="29"/>
      <c r="U20" s="29"/>
      <c r="V20" s="93" t="s">
        <v>27</v>
      </c>
      <c r="W20" s="94">
        <v>0.2534722222222222</v>
      </c>
      <c r="X20" s="95"/>
      <c r="Y20" s="95"/>
      <c r="Z20" s="13"/>
    </row>
    <row r="21">
      <c r="A21" s="149">
        <v>14.0</v>
      </c>
      <c r="B21" s="159" t="s">
        <v>23</v>
      </c>
      <c r="C21" s="150"/>
      <c r="D21" s="5"/>
      <c r="E21" s="150"/>
      <c r="F21" s="5"/>
      <c r="G21" s="150"/>
      <c r="H21" s="5"/>
      <c r="I21" s="150"/>
      <c r="J21" s="5"/>
      <c r="K21" s="6"/>
      <c r="L21" s="90">
        <f t="shared" si="7"/>
        <v>0</v>
      </c>
      <c r="M21" s="90">
        <v>0.0</v>
      </c>
      <c r="N21" s="92">
        <f t="shared" ref="N21:N22" si="8">+IF(($M$3-L21)&gt;$M$4,$M$3-L21,0)</f>
        <v>0.3333333333</v>
      </c>
      <c r="S21" s="29"/>
      <c r="T21" s="96"/>
      <c r="U21" s="29"/>
      <c r="V21" s="29"/>
      <c r="W21" s="37"/>
      <c r="X21" s="35"/>
      <c r="Y21" s="13"/>
      <c r="Z21" s="13"/>
    </row>
    <row r="22">
      <c r="A22" s="149">
        <v>15.0</v>
      </c>
      <c r="B22" s="159" t="s">
        <v>24</v>
      </c>
      <c r="C22" s="152">
        <v>0.3541666666666667</v>
      </c>
      <c r="D22" s="5"/>
      <c r="E22" s="152">
        <v>0.5055555555555555</v>
      </c>
      <c r="F22" s="5"/>
      <c r="G22" s="152">
        <v>0.5472222222222223</v>
      </c>
      <c r="H22" s="5"/>
      <c r="I22" s="152">
        <v>0.75</v>
      </c>
      <c r="J22" s="5"/>
      <c r="K22" s="124"/>
      <c r="L22" s="90">
        <f t="shared" si="7"/>
        <v>0.3541666667</v>
      </c>
      <c r="M22" s="92">
        <f>IF((L22-$M$3)&gt;$M$4,L22-$M$3,0)</f>
        <v>0.02083333333</v>
      </c>
      <c r="N22" s="91">
        <f t="shared" si="8"/>
        <v>0</v>
      </c>
      <c r="S22" s="29"/>
      <c r="T22" s="29"/>
      <c r="U22" s="29"/>
      <c r="V22" s="29"/>
      <c r="W22" s="31"/>
      <c r="X22" s="35"/>
      <c r="Y22" s="13"/>
      <c r="Z22" s="13"/>
    </row>
    <row r="23">
      <c r="A23" s="149">
        <v>16.0</v>
      </c>
      <c r="B23" s="158" t="s">
        <v>58</v>
      </c>
      <c r="C23" s="152">
        <v>0.3541666666666667</v>
      </c>
      <c r="D23" s="5"/>
      <c r="E23" s="152">
        <v>0.5</v>
      </c>
      <c r="F23" s="5"/>
      <c r="G23" s="152">
        <v>0.5416666666666666</v>
      </c>
      <c r="H23" s="5"/>
      <c r="I23" s="152">
        <v>0.7465277777777778</v>
      </c>
      <c r="J23" s="5"/>
      <c r="K23" s="6"/>
      <c r="L23" s="90">
        <f t="shared" si="7"/>
        <v>0.3506944444</v>
      </c>
      <c r="M23" s="90">
        <v>0.017361111111111112</v>
      </c>
      <c r="N23" s="90">
        <v>0.0</v>
      </c>
      <c r="S23" s="13"/>
      <c r="T23" s="29"/>
      <c r="U23" s="29"/>
      <c r="V23" s="93" t="s">
        <v>27</v>
      </c>
      <c r="W23" s="94">
        <v>0.2951388888888889</v>
      </c>
      <c r="X23" s="95"/>
      <c r="Y23" s="95"/>
      <c r="Z23" s="13"/>
    </row>
    <row r="24">
      <c r="A24" s="149">
        <v>17.0</v>
      </c>
      <c r="B24" s="159" t="s">
        <v>18</v>
      </c>
      <c r="C24" s="150">
        <v>0.35347222222222224</v>
      </c>
      <c r="D24" s="5"/>
      <c r="E24" s="150">
        <v>0.5</v>
      </c>
      <c r="F24" s="5"/>
      <c r="G24" s="150">
        <v>0.5416666666666666</v>
      </c>
      <c r="H24" s="5"/>
      <c r="I24" s="150">
        <v>0.7472222222222222</v>
      </c>
      <c r="J24" s="5"/>
      <c r="K24" s="6"/>
      <c r="L24" s="90">
        <f t="shared" si="7"/>
        <v>0.3520833333</v>
      </c>
      <c r="M24" s="92">
        <f t="shared" ref="M24:M28" si="9">IF((L24-$M$3)&gt;$M$4,L24-$M$3,0)</f>
        <v>0.01875</v>
      </c>
      <c r="N24" s="91">
        <f t="shared" ref="N24:N27" si="10">+IF(($M$3-L24)&gt;$M$4,$M$3-L24,0)</f>
        <v>0</v>
      </c>
      <c r="S24" s="13"/>
      <c r="T24" s="29"/>
      <c r="U24" s="29"/>
      <c r="V24" s="29"/>
      <c r="W24" s="29"/>
      <c r="X24" s="35"/>
      <c r="Y24" s="13"/>
      <c r="Z24" s="13"/>
    </row>
    <row r="25">
      <c r="A25" s="149">
        <v>18.0</v>
      </c>
      <c r="B25" s="159" t="s">
        <v>19</v>
      </c>
      <c r="C25" s="150">
        <v>0.3923611111111111</v>
      </c>
      <c r="D25" s="5"/>
      <c r="E25" s="150">
        <v>0.5423611111111111</v>
      </c>
      <c r="F25" s="5"/>
      <c r="G25" s="150">
        <v>0.5840277777777778</v>
      </c>
      <c r="H25" s="5"/>
      <c r="I25" s="150">
        <v>0.7527777777777778</v>
      </c>
      <c r="J25" s="5"/>
      <c r="K25" s="6"/>
      <c r="L25" s="90">
        <f t="shared" si="7"/>
        <v>0.31875</v>
      </c>
      <c r="M25" s="91">
        <f t="shared" si="9"/>
        <v>0</v>
      </c>
      <c r="N25" s="92">
        <f t="shared" si="10"/>
        <v>0.01458333333</v>
      </c>
      <c r="S25" s="13"/>
      <c r="T25" s="29"/>
      <c r="U25" s="29"/>
      <c r="V25" s="13"/>
      <c r="W25" s="13"/>
      <c r="X25" s="13"/>
      <c r="Y25" s="13"/>
      <c r="Z25" s="13"/>
    </row>
    <row r="26">
      <c r="A26" s="149">
        <v>19.0</v>
      </c>
      <c r="B26" s="158" t="s">
        <v>20</v>
      </c>
      <c r="C26" s="150">
        <v>0.35138888888888886</v>
      </c>
      <c r="D26" s="5"/>
      <c r="E26" s="150">
        <v>0.5034722222222222</v>
      </c>
      <c r="F26" s="5"/>
      <c r="G26" s="150">
        <v>0.5458333333333333</v>
      </c>
      <c r="H26" s="5"/>
      <c r="I26" s="150">
        <v>0.7479166666666667</v>
      </c>
      <c r="J26" s="5"/>
      <c r="K26" s="127"/>
      <c r="L26" s="90">
        <f t="shared" si="7"/>
        <v>0.3541666667</v>
      </c>
      <c r="M26" s="92">
        <f t="shared" si="9"/>
        <v>0.02083333333</v>
      </c>
      <c r="N26" s="91">
        <f t="shared" si="10"/>
        <v>0</v>
      </c>
      <c r="S26" s="29"/>
      <c r="T26" s="29"/>
      <c r="U26" s="29"/>
      <c r="V26" s="29"/>
      <c r="W26" s="37"/>
      <c r="X26" s="35"/>
      <c r="Y26" s="13"/>
      <c r="Z26" s="13"/>
    </row>
    <row r="27">
      <c r="A27" s="149">
        <v>20.0</v>
      </c>
      <c r="B27" s="159" t="s">
        <v>21</v>
      </c>
      <c r="C27" s="150">
        <v>0.3277777777777778</v>
      </c>
      <c r="D27" s="5"/>
      <c r="E27" s="150"/>
      <c r="F27" s="5"/>
      <c r="G27" s="150"/>
      <c r="H27" s="5"/>
      <c r="I27" s="150">
        <v>0.5</v>
      </c>
      <c r="J27" s="5"/>
      <c r="K27" s="6"/>
      <c r="L27" s="90">
        <f t="shared" si="7"/>
        <v>0.1722222222</v>
      </c>
      <c r="M27" s="91">
        <f t="shared" si="9"/>
        <v>0</v>
      </c>
      <c r="N27" s="92">
        <f t="shared" si="10"/>
        <v>0.1611111111</v>
      </c>
      <c r="S27" s="13"/>
      <c r="T27" s="29"/>
      <c r="U27" s="29"/>
      <c r="V27" s="13"/>
      <c r="W27" s="13"/>
      <c r="X27" s="13"/>
      <c r="Y27" s="13"/>
      <c r="Z27" s="13"/>
    </row>
    <row r="28">
      <c r="A28" s="149">
        <v>21.0</v>
      </c>
      <c r="B28" s="159" t="s">
        <v>23</v>
      </c>
      <c r="C28" s="150"/>
      <c r="D28" s="5"/>
      <c r="E28" s="150"/>
      <c r="F28" s="5"/>
      <c r="G28" s="150"/>
      <c r="H28" s="5"/>
      <c r="I28" s="150"/>
      <c r="J28" s="5"/>
      <c r="K28" s="6"/>
      <c r="L28" s="90">
        <f t="shared" si="7"/>
        <v>0</v>
      </c>
      <c r="M28" s="91">
        <f t="shared" si="9"/>
        <v>0</v>
      </c>
      <c r="N28" s="89">
        <v>0.0</v>
      </c>
      <c r="S28" s="13"/>
      <c r="T28" s="29"/>
      <c r="U28" s="39"/>
      <c r="V28" s="93" t="s">
        <v>27</v>
      </c>
      <c r="W28" s="94">
        <v>0.38055555555555554</v>
      </c>
      <c r="X28" s="93" t="s">
        <v>70</v>
      </c>
      <c r="Y28" s="95"/>
      <c r="Z28" s="13"/>
    </row>
    <row r="29">
      <c r="A29" s="149">
        <v>22.0</v>
      </c>
      <c r="B29" s="159" t="s">
        <v>24</v>
      </c>
      <c r="C29" s="156" t="s">
        <v>100</v>
      </c>
      <c r="D29" s="15"/>
      <c r="E29" s="15"/>
      <c r="F29" s="15"/>
      <c r="G29" s="15"/>
      <c r="H29" s="15"/>
      <c r="I29" s="15"/>
      <c r="J29" s="5"/>
      <c r="K29" s="145"/>
      <c r="L29" s="89" t="str">
        <f t="shared" si="7"/>
        <v>#VALUE!</v>
      </c>
      <c r="M29" s="90">
        <v>0.0</v>
      </c>
      <c r="N29" s="89">
        <v>0.0</v>
      </c>
      <c r="O29" s="13"/>
      <c r="P29" s="13"/>
      <c r="Q29" s="13"/>
      <c r="R29" s="13"/>
      <c r="S29" s="13"/>
    </row>
    <row r="30">
      <c r="A30" s="149">
        <v>23.0</v>
      </c>
      <c r="B30" s="158" t="s">
        <v>58</v>
      </c>
      <c r="C30" s="156" t="s">
        <v>100</v>
      </c>
      <c r="D30" s="15"/>
      <c r="E30" s="15"/>
      <c r="F30" s="15"/>
      <c r="G30" s="15"/>
      <c r="H30" s="15"/>
      <c r="I30" s="15"/>
      <c r="J30" s="5"/>
      <c r="K30" s="6"/>
      <c r="L30" s="89" t="str">
        <f t="shared" si="7"/>
        <v>#VALUE!</v>
      </c>
      <c r="M30" s="90">
        <v>0.0</v>
      </c>
      <c r="N30" s="89">
        <v>0.0</v>
      </c>
      <c r="O30" s="37"/>
      <c r="P30" s="35"/>
      <c r="Q30" s="13"/>
      <c r="R30" s="13"/>
      <c r="S30" s="29"/>
    </row>
    <row r="31">
      <c r="A31" s="149">
        <v>24.0</v>
      </c>
      <c r="B31" s="159" t="s">
        <v>18</v>
      </c>
      <c r="C31" s="156" t="s">
        <v>100</v>
      </c>
      <c r="D31" s="15"/>
      <c r="E31" s="15"/>
      <c r="F31" s="15"/>
      <c r="G31" s="15"/>
      <c r="H31" s="15"/>
      <c r="I31" s="15"/>
      <c r="J31" s="5"/>
      <c r="K31" s="6"/>
      <c r="L31" s="89" t="str">
        <f t="shared" si="7"/>
        <v>#VALUE!</v>
      </c>
      <c r="M31" s="91" t="str">
        <f t="shared" ref="M31:M35" si="11">IF((L31-$M$3)&gt;$M$4,L31-$M$3,0)</f>
        <v>#VALUE!</v>
      </c>
      <c r="N31" s="89">
        <v>0.0</v>
      </c>
      <c r="O31" s="13"/>
      <c r="P31" s="13"/>
      <c r="Q31" s="13"/>
      <c r="R31" s="13"/>
      <c r="S31" s="13"/>
    </row>
    <row r="32">
      <c r="A32" s="149">
        <v>25.0</v>
      </c>
      <c r="B32" s="159" t="s">
        <v>19</v>
      </c>
      <c r="C32" s="156" t="s">
        <v>100</v>
      </c>
      <c r="D32" s="15"/>
      <c r="E32" s="15"/>
      <c r="F32" s="15"/>
      <c r="G32" s="15"/>
      <c r="H32" s="15"/>
      <c r="I32" s="15"/>
      <c r="J32" s="5"/>
      <c r="K32" s="6"/>
      <c r="L32" s="89" t="str">
        <f t="shared" si="7"/>
        <v>#VALUE!</v>
      </c>
      <c r="M32" s="91" t="str">
        <f t="shared" si="11"/>
        <v>#VALUE!</v>
      </c>
      <c r="N32" s="89">
        <v>0.0</v>
      </c>
      <c r="O32" s="31"/>
      <c r="P32" s="35"/>
      <c r="Q32" s="13"/>
      <c r="R32" s="13"/>
      <c r="S32" s="29"/>
    </row>
    <row r="33">
      <c r="A33" s="149">
        <v>26.0</v>
      </c>
      <c r="B33" s="159" t="s">
        <v>20</v>
      </c>
      <c r="C33" s="156" t="s">
        <v>100</v>
      </c>
      <c r="D33" s="15"/>
      <c r="E33" s="15"/>
      <c r="F33" s="15"/>
      <c r="G33" s="15"/>
      <c r="H33" s="15"/>
      <c r="I33" s="15"/>
      <c r="J33" s="5"/>
      <c r="K33" s="6"/>
      <c r="L33" s="89" t="str">
        <f t="shared" si="7"/>
        <v>#VALUE!</v>
      </c>
      <c r="M33" s="91" t="str">
        <f t="shared" si="11"/>
        <v>#VALUE!</v>
      </c>
      <c r="N33" s="89">
        <v>0.0</v>
      </c>
      <c r="O33" s="31"/>
      <c r="P33" s="35"/>
      <c r="Q33" s="13"/>
      <c r="R33" s="13"/>
      <c r="S33" s="13"/>
    </row>
    <row r="34">
      <c r="A34" s="149">
        <v>27.0</v>
      </c>
      <c r="B34" s="159" t="s">
        <v>21</v>
      </c>
      <c r="C34" s="156" t="s">
        <v>100</v>
      </c>
      <c r="D34" s="15"/>
      <c r="E34" s="15"/>
      <c r="F34" s="15"/>
      <c r="G34" s="15"/>
      <c r="H34" s="15"/>
      <c r="I34" s="15"/>
      <c r="J34" s="5"/>
      <c r="K34" s="6"/>
      <c r="L34" s="89" t="str">
        <f t="shared" si="7"/>
        <v>#VALUE!</v>
      </c>
      <c r="M34" s="91" t="str">
        <f t="shared" si="11"/>
        <v>#VALUE!</v>
      </c>
      <c r="N34" s="89">
        <v>0.0</v>
      </c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9" t="s">
        <v>23</v>
      </c>
      <c r="C35" s="156" t="s">
        <v>100</v>
      </c>
      <c r="D35" s="15"/>
      <c r="E35" s="15"/>
      <c r="F35" s="15"/>
      <c r="G35" s="15"/>
      <c r="H35" s="15"/>
      <c r="I35" s="15"/>
      <c r="J35" s="5"/>
      <c r="L35" s="89" t="str">
        <f t="shared" si="7"/>
        <v>#VALUE!</v>
      </c>
      <c r="M35" s="91" t="str">
        <f t="shared" si="11"/>
        <v>#VALUE!</v>
      </c>
      <c r="N35" s="89">
        <v>0.0</v>
      </c>
      <c r="O35" s="37"/>
      <c r="P35" s="35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24</v>
      </c>
      <c r="C36" s="156" t="s">
        <v>100</v>
      </c>
      <c r="D36" s="15"/>
      <c r="E36" s="15"/>
      <c r="F36" s="15"/>
      <c r="G36" s="15"/>
      <c r="H36" s="15"/>
      <c r="I36" s="15"/>
      <c r="J36" s="5"/>
      <c r="K36" s="6"/>
      <c r="L36" s="89" t="str">
        <f t="shared" si="7"/>
        <v>#VALUE!</v>
      </c>
      <c r="M36" s="90">
        <v>0.0</v>
      </c>
      <c r="N36" s="89">
        <v>0.0</v>
      </c>
      <c r="O36" s="29"/>
      <c r="P36" s="35"/>
      <c r="Q36" s="13"/>
      <c r="R36" s="13"/>
      <c r="S36" s="13"/>
    </row>
    <row r="37">
      <c r="A37" s="163">
        <v>30.0</v>
      </c>
      <c r="B37" s="159" t="s">
        <v>58</v>
      </c>
      <c r="C37" s="156" t="s">
        <v>100</v>
      </c>
      <c r="D37" s="15"/>
      <c r="E37" s="15"/>
      <c r="F37" s="15"/>
      <c r="G37" s="15"/>
      <c r="H37" s="15"/>
      <c r="I37" s="15"/>
      <c r="J37" s="5"/>
      <c r="K37" s="6"/>
      <c r="L37" s="89" t="str">
        <f t="shared" si="7"/>
        <v>#VALUE!</v>
      </c>
      <c r="M37" s="90">
        <v>0.0</v>
      </c>
      <c r="N37" s="89">
        <v>0.0</v>
      </c>
      <c r="O37" s="37"/>
      <c r="P37" s="35"/>
      <c r="Q37" s="13"/>
      <c r="R37" s="13"/>
      <c r="S37" s="29"/>
    </row>
    <row r="38">
      <c r="A38" s="163">
        <v>31.0</v>
      </c>
      <c r="B38" s="159" t="s">
        <v>18</v>
      </c>
      <c r="C38" s="156" t="s">
        <v>100</v>
      </c>
      <c r="D38" s="15"/>
      <c r="E38" s="15"/>
      <c r="F38" s="15"/>
      <c r="G38" s="15"/>
      <c r="H38" s="15"/>
      <c r="I38" s="15"/>
      <c r="J38" s="5"/>
      <c r="K38" s="6"/>
      <c r="L38" s="89" t="str">
        <f t="shared" si="7"/>
        <v>#VALUE!</v>
      </c>
      <c r="M38" s="90">
        <v>0.0</v>
      </c>
      <c r="N38" s="89">
        <v>0.0</v>
      </c>
      <c r="O38" s="97"/>
      <c r="P38" s="13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4" t="str">
        <f>SUM(M8:M38)</f>
        <v>#VALUE!</v>
      </c>
      <c r="N39" s="106">
        <v>0.15763888888888888</v>
      </c>
      <c r="O39" s="29"/>
      <c r="P39" s="13"/>
      <c r="Q39" s="13"/>
      <c r="R39" s="13"/>
      <c r="S39" s="13"/>
    </row>
    <row r="40">
      <c r="A40" s="107" t="s">
        <v>124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07" t="s">
        <v>125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35"/>
      <c r="N41" s="13"/>
      <c r="O41" s="35"/>
      <c r="P41" s="29"/>
      <c r="Q41" s="13"/>
      <c r="R41" s="13"/>
      <c r="S41" s="13"/>
    </row>
    <row r="42">
      <c r="A42" s="132" t="s">
        <v>126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L43" s="13"/>
      <c r="M43" s="29"/>
      <c r="N43" s="13"/>
      <c r="O43" s="13"/>
      <c r="P43" s="13"/>
      <c r="Q43" s="13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  <c r="M45" s="142">
        <v>2.0</v>
      </c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</sheetData>
  <mergeCells count="116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E12:F12"/>
    <mergeCell ref="G12:H12"/>
    <mergeCell ref="C9:D9"/>
    <mergeCell ref="C10:D10"/>
    <mergeCell ref="E10:F10"/>
    <mergeCell ref="G10:H10"/>
    <mergeCell ref="I10:J10"/>
    <mergeCell ref="C11:J11"/>
    <mergeCell ref="I12:J12"/>
    <mergeCell ref="G14:H14"/>
    <mergeCell ref="I14:J14"/>
    <mergeCell ref="G22:H22"/>
    <mergeCell ref="I22:J22"/>
    <mergeCell ref="A42:J42"/>
    <mergeCell ref="F43:G43"/>
    <mergeCell ref="D44:E44"/>
    <mergeCell ref="F44:G44"/>
    <mergeCell ref="D45:E45"/>
    <mergeCell ref="F45:G45"/>
    <mergeCell ref="D46:E46"/>
    <mergeCell ref="F46:G46"/>
    <mergeCell ref="C35:J35"/>
    <mergeCell ref="C36:J36"/>
    <mergeCell ref="C37:J37"/>
    <mergeCell ref="C38:J38"/>
    <mergeCell ref="A39:J39"/>
    <mergeCell ref="A40:J40"/>
    <mergeCell ref="A41:J41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C27:D27"/>
    <mergeCell ref="E27:F27"/>
    <mergeCell ref="G27:H27"/>
    <mergeCell ref="I27:J27"/>
    <mergeCell ref="C28:D28"/>
    <mergeCell ref="E28:F28"/>
    <mergeCell ref="G28:H28"/>
    <mergeCell ref="I28:J28"/>
    <mergeCell ref="C29:J29"/>
    <mergeCell ref="C30:J30"/>
    <mergeCell ref="C31:J31"/>
    <mergeCell ref="C32:J32"/>
    <mergeCell ref="C33:J33"/>
    <mergeCell ref="C34:J34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23" t="s">
        <v>127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Y7" s="13"/>
      <c r="Z7" s="13"/>
      <c r="AA7" s="13"/>
    </row>
    <row r="8">
      <c r="A8" s="148">
        <v>1.0</v>
      </c>
      <c r="B8" s="155" t="s">
        <v>24</v>
      </c>
      <c r="C8" s="150">
        <v>0.3472222222222222</v>
      </c>
      <c r="D8" s="5"/>
      <c r="E8" s="150">
        <v>0.5069444444444444</v>
      </c>
      <c r="F8" s="5"/>
      <c r="G8" s="150">
        <v>0.5486111111111112</v>
      </c>
      <c r="H8" s="5"/>
      <c r="I8" s="150">
        <v>0.75</v>
      </c>
      <c r="J8" s="5"/>
      <c r="K8" s="6"/>
      <c r="L8" s="90">
        <f t="shared" ref="L8:L26" si="1">(E8-C8)+(I8-G8)</f>
        <v>0.3611111111</v>
      </c>
      <c r="M8" s="92">
        <f t="shared" ref="M8:M19" si="2">IF((L8-$M$3)&gt;$M$4,L8-$M$3,0)</f>
        <v>0.02777777778</v>
      </c>
      <c r="N8" s="91">
        <f t="shared" ref="N8:N12" si="3">+IF(($M$3-L8)&gt;$M$4,$M$3-L8,0)</f>
        <v>0</v>
      </c>
      <c r="T8" s="29"/>
      <c r="U8" s="29">
        <v>30.0</v>
      </c>
      <c r="V8" s="13"/>
      <c r="W8" s="13"/>
      <c r="X8" s="13"/>
      <c r="Y8" s="13"/>
      <c r="Z8" s="13"/>
      <c r="AA8" s="13"/>
    </row>
    <row r="9">
      <c r="A9" s="149">
        <v>2.0</v>
      </c>
      <c r="B9" s="155" t="s">
        <v>58</v>
      </c>
      <c r="C9" s="150">
        <v>0.3597222222222222</v>
      </c>
      <c r="D9" s="5"/>
      <c r="E9" s="150">
        <v>0.5111111111111111</v>
      </c>
      <c r="F9" s="5"/>
      <c r="G9" s="150">
        <v>0.5527777777777778</v>
      </c>
      <c r="H9" s="5"/>
      <c r="I9" s="150">
        <v>0.7520833333333333</v>
      </c>
      <c r="J9" s="5"/>
      <c r="K9" s="6"/>
      <c r="L9" s="90">
        <f t="shared" si="1"/>
        <v>0.3506944444</v>
      </c>
      <c r="M9" s="92">
        <f t="shared" si="2"/>
        <v>0.01736111111</v>
      </c>
      <c r="N9" s="91">
        <f t="shared" si="3"/>
        <v>0</v>
      </c>
      <c r="S9" s="157">
        <f>33-8</f>
        <v>25</v>
      </c>
      <c r="T9" s="29"/>
      <c r="U9" s="29">
        <v>30.0</v>
      </c>
      <c r="V9" s="13"/>
      <c r="W9" s="13"/>
      <c r="X9" s="13"/>
      <c r="Y9" s="13"/>
      <c r="Z9" s="13"/>
      <c r="AA9" s="29"/>
    </row>
    <row r="10">
      <c r="A10" s="149">
        <v>3.0</v>
      </c>
      <c r="B10" s="158" t="s">
        <v>18</v>
      </c>
      <c r="C10" s="150">
        <v>0.3541666666666667</v>
      </c>
      <c r="D10" s="5"/>
      <c r="E10" s="150">
        <v>0.5041666666666667</v>
      </c>
      <c r="F10" s="5"/>
      <c r="G10" s="150">
        <v>0.5506944444444445</v>
      </c>
      <c r="H10" s="5"/>
      <c r="I10" s="150">
        <v>0.7486111111111111</v>
      </c>
      <c r="J10" s="5"/>
      <c r="K10" s="6"/>
      <c r="L10" s="90">
        <f t="shared" si="1"/>
        <v>0.3479166667</v>
      </c>
      <c r="M10" s="92">
        <f t="shared" si="2"/>
        <v>0.01458333333</v>
      </c>
      <c r="N10" s="91">
        <f t="shared" si="3"/>
        <v>0</v>
      </c>
      <c r="T10" s="29"/>
      <c r="U10" s="29">
        <v>30.0</v>
      </c>
      <c r="V10" s="13"/>
      <c r="W10" s="13"/>
      <c r="X10" s="13"/>
      <c r="Y10" s="13"/>
      <c r="Z10" s="13"/>
      <c r="AA10" s="13"/>
    </row>
    <row r="11">
      <c r="A11" s="149">
        <v>4.0</v>
      </c>
      <c r="B11" s="159" t="s">
        <v>19</v>
      </c>
      <c r="C11" s="150">
        <v>0.35555555555555557</v>
      </c>
      <c r="D11" s="5"/>
      <c r="E11" s="150">
        <v>0.5027777777777778</v>
      </c>
      <c r="F11" s="5"/>
      <c r="G11" s="150">
        <v>0.5555555555555556</v>
      </c>
      <c r="H11" s="5"/>
      <c r="I11" s="150">
        <v>0.75</v>
      </c>
      <c r="J11" s="5"/>
      <c r="K11" s="6"/>
      <c r="L11" s="90">
        <f t="shared" si="1"/>
        <v>0.3416666667</v>
      </c>
      <c r="M11" s="92">
        <f t="shared" si="2"/>
        <v>0.008333333333</v>
      </c>
      <c r="N11" s="91">
        <f t="shared" si="3"/>
        <v>0</v>
      </c>
      <c r="T11" s="29"/>
      <c r="U11" s="29"/>
      <c r="V11" s="13"/>
      <c r="W11" s="13"/>
      <c r="X11" s="13"/>
      <c r="Y11" s="13"/>
      <c r="Z11" s="13"/>
      <c r="AA11" s="13"/>
    </row>
    <row r="12">
      <c r="A12" s="149">
        <v>5.0</v>
      </c>
      <c r="B12" s="155" t="s">
        <v>20</v>
      </c>
      <c r="C12" s="150">
        <v>0.35833333333333334</v>
      </c>
      <c r="D12" s="5"/>
      <c r="E12" s="150">
        <v>0.5027777777777778</v>
      </c>
      <c r="F12" s="5"/>
      <c r="G12" s="150">
        <v>0.5458333333333333</v>
      </c>
      <c r="H12" s="5"/>
      <c r="I12" s="150">
        <v>0.7444444444444445</v>
      </c>
      <c r="J12" s="5"/>
      <c r="K12" s="6"/>
      <c r="L12" s="90">
        <f t="shared" si="1"/>
        <v>0.3430555556</v>
      </c>
      <c r="M12" s="92">
        <f t="shared" si="2"/>
        <v>0.009722222222</v>
      </c>
      <c r="N12" s="91">
        <f t="shared" si="3"/>
        <v>0</v>
      </c>
      <c r="T12" s="29"/>
      <c r="U12" s="29"/>
      <c r="V12" s="13"/>
      <c r="W12" s="13"/>
      <c r="X12" s="13"/>
      <c r="Y12" s="13"/>
      <c r="Z12" s="13"/>
      <c r="AA12" s="13"/>
    </row>
    <row r="13">
      <c r="A13" s="149">
        <v>6.0</v>
      </c>
      <c r="B13" s="158" t="s">
        <v>21</v>
      </c>
      <c r="C13" s="150">
        <v>0.3298611111111111</v>
      </c>
      <c r="D13" s="5"/>
      <c r="E13" s="150"/>
      <c r="F13" s="5"/>
      <c r="G13" s="150"/>
      <c r="H13" s="5"/>
      <c r="I13" s="150">
        <v>0.50625</v>
      </c>
      <c r="J13" s="5"/>
      <c r="K13" s="6"/>
      <c r="L13" s="90">
        <f t="shared" si="1"/>
        <v>0.1763888889</v>
      </c>
      <c r="M13" s="91">
        <f t="shared" si="2"/>
        <v>0</v>
      </c>
      <c r="N13" s="90">
        <v>0.0</v>
      </c>
      <c r="T13" s="29"/>
      <c r="U13" s="29">
        <v>30.0</v>
      </c>
      <c r="V13" s="29"/>
      <c r="W13" s="37"/>
      <c r="X13" s="35"/>
      <c r="Y13" s="13"/>
      <c r="Z13" s="13"/>
      <c r="AA13" s="13"/>
    </row>
    <row r="14">
      <c r="A14" s="149">
        <v>7.0</v>
      </c>
      <c r="B14" s="159" t="s">
        <v>23</v>
      </c>
      <c r="C14" s="150"/>
      <c r="D14" s="5"/>
      <c r="E14" s="150"/>
      <c r="F14" s="5"/>
      <c r="G14" s="150"/>
      <c r="H14" s="5"/>
      <c r="I14" s="150"/>
      <c r="J14" s="5"/>
      <c r="K14" s="6"/>
      <c r="L14" s="90">
        <f t="shared" si="1"/>
        <v>0</v>
      </c>
      <c r="M14" s="91">
        <f t="shared" si="2"/>
        <v>0</v>
      </c>
      <c r="N14" s="90">
        <v>0.0</v>
      </c>
      <c r="T14" s="29"/>
      <c r="U14" s="29">
        <v>30.0</v>
      </c>
      <c r="V14" s="93" t="s">
        <v>27</v>
      </c>
      <c r="W14" s="94">
        <v>0.11180555555555556</v>
      </c>
      <c r="X14" s="160" t="s">
        <v>101</v>
      </c>
      <c r="Y14" s="13"/>
      <c r="Z14" s="13"/>
      <c r="AA14" s="13"/>
    </row>
    <row r="15">
      <c r="A15" s="149">
        <v>8.0</v>
      </c>
      <c r="B15" s="159" t="s">
        <v>24</v>
      </c>
      <c r="C15" s="150">
        <v>0.35625</v>
      </c>
      <c r="D15" s="5"/>
      <c r="E15" s="150">
        <v>0.5006944444444444</v>
      </c>
      <c r="F15" s="5"/>
      <c r="G15" s="150">
        <v>0.5472222222222223</v>
      </c>
      <c r="H15" s="5"/>
      <c r="I15" s="150">
        <v>0.75</v>
      </c>
      <c r="J15" s="5"/>
      <c r="K15" s="6"/>
      <c r="L15" s="90">
        <f t="shared" si="1"/>
        <v>0.3472222222</v>
      </c>
      <c r="M15" s="92">
        <f t="shared" si="2"/>
        <v>0.01388888889</v>
      </c>
      <c r="N15" s="91">
        <f t="shared" ref="N15:N19" si="4">+IF(($M$3-L15)&gt;$M$4,$M$3-L15,0)</f>
        <v>0</v>
      </c>
      <c r="T15" s="29"/>
      <c r="U15" s="29">
        <v>30.0</v>
      </c>
      <c r="V15" s="29"/>
      <c r="W15" s="37"/>
      <c r="X15" s="35"/>
      <c r="Y15" s="13"/>
      <c r="Z15" s="13"/>
      <c r="AA15" s="13"/>
    </row>
    <row r="16">
      <c r="A16" s="149">
        <v>9.0</v>
      </c>
      <c r="B16" s="155" t="s">
        <v>58</v>
      </c>
      <c r="C16" s="150">
        <v>0.3611111111111111</v>
      </c>
      <c r="D16" s="5"/>
      <c r="E16" s="150">
        <v>0.5006944444444444</v>
      </c>
      <c r="F16" s="5"/>
      <c r="G16" s="150">
        <v>0.5513888888888889</v>
      </c>
      <c r="H16" s="5"/>
      <c r="I16" s="150">
        <v>0.7513888888888889</v>
      </c>
      <c r="J16" s="5"/>
      <c r="K16" s="6"/>
      <c r="L16" s="90">
        <f t="shared" si="1"/>
        <v>0.3395833333</v>
      </c>
      <c r="M16" s="91">
        <f t="shared" si="2"/>
        <v>0</v>
      </c>
      <c r="N16" s="91">
        <f t="shared" si="4"/>
        <v>0</v>
      </c>
      <c r="T16" s="29"/>
      <c r="U16" s="142">
        <v>30.0</v>
      </c>
      <c r="V16" s="13"/>
      <c r="W16" s="13"/>
      <c r="X16" s="13"/>
      <c r="Y16" s="13"/>
      <c r="Z16" s="13"/>
      <c r="AA16" s="13"/>
    </row>
    <row r="17">
      <c r="A17" s="149">
        <v>10.0</v>
      </c>
      <c r="B17" s="158" t="s">
        <v>18</v>
      </c>
      <c r="C17" s="150">
        <v>0.3506944444444444</v>
      </c>
      <c r="D17" s="5"/>
      <c r="E17" s="150">
        <v>0.5006944444444444</v>
      </c>
      <c r="F17" s="5"/>
      <c r="G17" s="150">
        <v>0.5493055555555556</v>
      </c>
      <c r="H17" s="5"/>
      <c r="I17" s="150">
        <v>0.7465277777777778</v>
      </c>
      <c r="J17" s="5"/>
      <c r="K17" s="6"/>
      <c r="L17" s="90">
        <f t="shared" si="1"/>
        <v>0.3472222222</v>
      </c>
      <c r="M17" s="92">
        <f t="shared" si="2"/>
        <v>0.01388888889</v>
      </c>
      <c r="N17" s="91">
        <f t="shared" si="4"/>
        <v>0</v>
      </c>
      <c r="P17" s="35"/>
      <c r="T17" s="29"/>
      <c r="U17" s="142">
        <v>30.0</v>
      </c>
      <c r="V17" s="13"/>
      <c r="W17" s="13"/>
      <c r="X17" s="13"/>
      <c r="Y17" s="13"/>
      <c r="Z17" s="13"/>
      <c r="AA17" s="13"/>
    </row>
    <row r="18">
      <c r="A18" s="149">
        <v>11.0</v>
      </c>
      <c r="B18" s="159" t="s">
        <v>19</v>
      </c>
      <c r="C18" s="150">
        <v>0.3506944444444444</v>
      </c>
      <c r="D18" s="5"/>
      <c r="E18" s="150">
        <v>0.5201388888888889</v>
      </c>
      <c r="F18" s="5"/>
      <c r="G18" s="150">
        <v>0.5618055555555556</v>
      </c>
      <c r="H18" s="5"/>
      <c r="I18" s="150">
        <v>0.7520833333333333</v>
      </c>
      <c r="J18" s="5"/>
      <c r="K18" s="6"/>
      <c r="L18" s="90">
        <f t="shared" si="1"/>
        <v>0.3597222222</v>
      </c>
      <c r="M18" s="92">
        <f t="shared" si="2"/>
        <v>0.02638888889</v>
      </c>
      <c r="N18" s="91">
        <f t="shared" si="4"/>
        <v>0</v>
      </c>
      <c r="T18" s="29"/>
      <c r="U18" s="29"/>
      <c r="V18" s="29"/>
      <c r="W18" s="37"/>
      <c r="X18" s="35"/>
      <c r="Y18" s="13"/>
      <c r="Z18" s="13"/>
      <c r="AA18" s="29"/>
    </row>
    <row r="19">
      <c r="A19" s="149">
        <v>12.0</v>
      </c>
      <c r="B19" s="155" t="s">
        <v>20</v>
      </c>
      <c r="C19" s="150">
        <v>0.34444444444444444</v>
      </c>
      <c r="D19" s="5"/>
      <c r="E19" s="150">
        <v>0.5111111111111111</v>
      </c>
      <c r="F19" s="5"/>
      <c r="G19" s="150">
        <v>0.5527777777777778</v>
      </c>
      <c r="H19" s="5"/>
      <c r="I19" s="150">
        <v>0.7472222222222222</v>
      </c>
      <c r="J19" s="5"/>
      <c r="K19" s="6"/>
      <c r="L19" s="90">
        <f t="shared" si="1"/>
        <v>0.3611111111</v>
      </c>
      <c r="M19" s="92">
        <f t="shared" si="2"/>
        <v>0.02777777778</v>
      </c>
      <c r="N19" s="91">
        <f t="shared" si="4"/>
        <v>0</v>
      </c>
      <c r="T19" s="29"/>
      <c r="U19" s="29"/>
      <c r="V19" s="29"/>
      <c r="W19" s="37"/>
      <c r="X19" s="35"/>
      <c r="Y19" s="13"/>
      <c r="Z19" s="13"/>
      <c r="AA19" s="13"/>
    </row>
    <row r="20">
      <c r="A20" s="149">
        <v>13.0</v>
      </c>
      <c r="B20" s="158" t="s">
        <v>21</v>
      </c>
      <c r="C20" s="150">
        <v>0.31666666666666665</v>
      </c>
      <c r="D20" s="5"/>
      <c r="E20" s="150"/>
      <c r="F20" s="5"/>
      <c r="G20" s="150"/>
      <c r="H20" s="5"/>
      <c r="I20" s="150">
        <v>0.5055555555555555</v>
      </c>
      <c r="J20" s="5"/>
      <c r="K20" s="6"/>
      <c r="L20" s="90">
        <f t="shared" si="1"/>
        <v>0.1888888889</v>
      </c>
      <c r="M20" s="90">
        <v>0.022222222222222223</v>
      </c>
      <c r="N20" s="90">
        <v>0.0</v>
      </c>
      <c r="O20" s="31"/>
      <c r="T20" s="29"/>
      <c r="U20" s="29">
        <v>30.0</v>
      </c>
      <c r="V20" s="13"/>
      <c r="W20" s="13"/>
      <c r="X20" s="13"/>
      <c r="Y20" s="13"/>
      <c r="Z20" s="13"/>
      <c r="AA20" s="13"/>
    </row>
    <row r="21">
      <c r="A21" s="149">
        <v>14.0</v>
      </c>
      <c r="B21" s="159" t="s">
        <v>23</v>
      </c>
      <c r="C21" s="150"/>
      <c r="D21" s="5"/>
      <c r="E21" s="150"/>
      <c r="F21" s="5"/>
      <c r="G21" s="150"/>
      <c r="H21" s="5"/>
      <c r="I21" s="150"/>
      <c r="J21" s="5"/>
      <c r="K21" s="6"/>
      <c r="L21" s="90">
        <f t="shared" si="1"/>
        <v>0</v>
      </c>
      <c r="M21" s="90">
        <v>0.0</v>
      </c>
      <c r="N21" s="167">
        <v>0.0</v>
      </c>
      <c r="T21" s="96"/>
      <c r="U21" s="29">
        <v>30.0</v>
      </c>
      <c r="V21" s="13"/>
      <c r="W21" s="13"/>
      <c r="X21" s="13"/>
      <c r="Y21" s="13"/>
      <c r="Z21" s="13"/>
      <c r="AA21" s="13"/>
    </row>
    <row r="22">
      <c r="A22" s="149">
        <v>15.0</v>
      </c>
      <c r="B22" s="159" t="s">
        <v>24</v>
      </c>
      <c r="C22" s="152">
        <v>0.3472222222222222</v>
      </c>
      <c r="D22" s="5"/>
      <c r="E22" s="152">
        <v>0.5013888888888889</v>
      </c>
      <c r="F22" s="5"/>
      <c r="G22" s="152">
        <v>0.54375</v>
      </c>
      <c r="H22" s="5"/>
      <c r="I22" s="152">
        <v>0.75</v>
      </c>
      <c r="J22" s="5"/>
      <c r="K22" s="6"/>
      <c r="L22" s="90">
        <f t="shared" si="1"/>
        <v>0.3604166667</v>
      </c>
      <c r="M22" s="92">
        <f t="shared" ref="M22:M26" si="5">IF((L22-$M$3)&gt;$M$4,L22-$M$3,0)</f>
        <v>0.02708333333</v>
      </c>
      <c r="N22" s="91">
        <f t="shared" ref="N22:N26" si="6">+IF(($M$3-L22)&gt;$M$4,$M$3-L22,0)</f>
        <v>0</v>
      </c>
      <c r="T22" s="29"/>
      <c r="U22" s="29">
        <v>30.0</v>
      </c>
      <c r="V22" s="29"/>
      <c r="W22" s="31"/>
      <c r="X22" s="35"/>
      <c r="Y22" s="13"/>
      <c r="Z22" s="13"/>
      <c r="AA22" s="13"/>
    </row>
    <row r="23">
      <c r="A23" s="149">
        <v>16.0</v>
      </c>
      <c r="B23" s="158" t="s">
        <v>58</v>
      </c>
      <c r="C23" s="152">
        <v>0.35</v>
      </c>
      <c r="D23" s="5"/>
      <c r="E23" s="152">
        <v>0.5111111111111111</v>
      </c>
      <c r="F23" s="5"/>
      <c r="G23" s="152">
        <v>0.5527777777777778</v>
      </c>
      <c r="H23" s="5"/>
      <c r="I23" s="152">
        <v>0.7479166666666667</v>
      </c>
      <c r="J23" s="5"/>
      <c r="K23" s="6"/>
      <c r="L23" s="90">
        <f t="shared" si="1"/>
        <v>0.35625</v>
      </c>
      <c r="M23" s="92">
        <f t="shared" si="5"/>
        <v>0.02291666667</v>
      </c>
      <c r="N23" s="91">
        <f t="shared" si="6"/>
        <v>0</v>
      </c>
      <c r="T23" s="29"/>
      <c r="U23" s="29">
        <v>30.0</v>
      </c>
      <c r="V23" s="93" t="s">
        <v>27</v>
      </c>
      <c r="W23" s="94">
        <v>0.25763888888888886</v>
      </c>
      <c r="X23" s="93" t="s">
        <v>102</v>
      </c>
      <c r="Y23" s="13"/>
      <c r="Z23" s="13"/>
      <c r="AA23" s="13"/>
    </row>
    <row r="24">
      <c r="A24" s="149">
        <v>17.0</v>
      </c>
      <c r="B24" s="159" t="s">
        <v>18</v>
      </c>
      <c r="C24" s="150">
        <v>0.34791666666666665</v>
      </c>
      <c r="D24" s="5"/>
      <c r="E24" s="150">
        <v>0.5090277777777777</v>
      </c>
      <c r="F24" s="5"/>
      <c r="G24" s="150">
        <v>0.5506944444444445</v>
      </c>
      <c r="H24" s="5"/>
      <c r="I24" s="150">
        <v>0.7479166666666667</v>
      </c>
      <c r="J24" s="5"/>
      <c r="K24" s="6"/>
      <c r="L24" s="90">
        <f t="shared" si="1"/>
        <v>0.3583333333</v>
      </c>
      <c r="M24" s="92">
        <f t="shared" si="5"/>
        <v>0.025</v>
      </c>
      <c r="N24" s="91">
        <f t="shared" si="6"/>
        <v>0</v>
      </c>
      <c r="T24" s="29"/>
      <c r="U24" s="29">
        <v>30.0</v>
      </c>
      <c r="V24" s="29"/>
      <c r="W24" s="37"/>
      <c r="X24" s="35"/>
      <c r="Y24" s="13"/>
      <c r="Z24" s="13"/>
      <c r="AA24" s="13"/>
    </row>
    <row r="25">
      <c r="A25" s="149">
        <v>18.0</v>
      </c>
      <c r="B25" s="159" t="s">
        <v>19</v>
      </c>
      <c r="C25" s="150">
        <v>0.3506944444444444</v>
      </c>
      <c r="D25" s="5"/>
      <c r="E25" s="150">
        <v>0.5111111111111111</v>
      </c>
      <c r="F25" s="5"/>
      <c r="G25" s="153"/>
      <c r="H25" s="5"/>
      <c r="I25" s="150">
        <v>0.7527777777777778</v>
      </c>
      <c r="J25" s="5"/>
      <c r="K25" s="6"/>
      <c r="L25" s="90">
        <f t="shared" si="1"/>
        <v>0.9131944444</v>
      </c>
      <c r="M25" s="92">
        <f t="shared" si="5"/>
        <v>0.5798611111</v>
      </c>
      <c r="N25" s="91">
        <f t="shared" si="6"/>
        <v>0</v>
      </c>
      <c r="T25" s="29"/>
      <c r="U25" s="29"/>
      <c r="V25" s="13"/>
      <c r="W25" s="13"/>
      <c r="X25" s="13"/>
      <c r="Y25" s="13"/>
      <c r="Z25" s="13"/>
      <c r="AA25" s="13"/>
    </row>
    <row r="26">
      <c r="A26" s="149">
        <v>19.0</v>
      </c>
      <c r="B26" s="158" t="s">
        <v>20</v>
      </c>
      <c r="C26" s="150">
        <v>0.35138888888888886</v>
      </c>
      <c r="D26" s="5"/>
      <c r="E26" s="150">
        <v>0.5236111111111111</v>
      </c>
      <c r="F26" s="5"/>
      <c r="G26" s="153"/>
      <c r="H26" s="5"/>
      <c r="I26" s="150">
        <v>0.7479166666666667</v>
      </c>
      <c r="J26" s="5"/>
      <c r="K26" s="127"/>
      <c r="L26" s="90">
        <f t="shared" si="1"/>
        <v>0.9201388889</v>
      </c>
      <c r="M26" s="92">
        <f t="shared" si="5"/>
        <v>0.5868055556</v>
      </c>
      <c r="N26" s="91">
        <f t="shared" si="6"/>
        <v>0</v>
      </c>
      <c r="T26" s="29"/>
      <c r="U26" s="29"/>
      <c r="V26" s="96"/>
      <c r="W26" s="29"/>
      <c r="X26" s="35"/>
      <c r="Y26" s="13"/>
      <c r="Z26" s="13"/>
      <c r="AA26" s="29"/>
    </row>
    <row r="27">
      <c r="A27" s="149">
        <v>20.0</v>
      </c>
      <c r="B27" s="159" t="s">
        <v>21</v>
      </c>
      <c r="C27" s="150">
        <v>0.3236111111111111</v>
      </c>
      <c r="D27" s="5"/>
      <c r="E27" s="150"/>
      <c r="F27" s="5"/>
      <c r="G27" s="150"/>
      <c r="H27" s="5"/>
      <c r="I27" s="150">
        <v>0.5</v>
      </c>
      <c r="J27" s="5"/>
      <c r="K27" s="6"/>
      <c r="L27" s="89">
        <v>0.0</v>
      </c>
      <c r="M27" s="90">
        <v>0.009722222222222222</v>
      </c>
      <c r="N27" s="90">
        <v>0.0</v>
      </c>
      <c r="T27" s="29"/>
      <c r="U27" s="29">
        <v>30.0</v>
      </c>
      <c r="V27" s="13"/>
      <c r="W27" s="13"/>
      <c r="X27" s="13"/>
      <c r="Y27" s="13"/>
      <c r="Z27" s="13"/>
      <c r="AA27" s="13"/>
    </row>
    <row r="28">
      <c r="A28" s="149">
        <v>21.0</v>
      </c>
      <c r="B28" s="159" t="s">
        <v>23</v>
      </c>
      <c r="C28" s="150"/>
      <c r="D28" s="5"/>
      <c r="E28" s="150"/>
      <c r="F28" s="5"/>
      <c r="G28" s="150"/>
      <c r="H28" s="5"/>
      <c r="I28" s="150"/>
      <c r="J28" s="5"/>
      <c r="K28" s="6"/>
      <c r="L28" s="90">
        <f t="shared" ref="L28:L29" si="7">(E28-C28)+(I28-G28)</f>
        <v>0</v>
      </c>
      <c r="M28" s="91">
        <f t="shared" ref="M28:M31" si="8">IF((L28-$M$3)&gt;$M$4,L28-$M$3,0)</f>
        <v>0</v>
      </c>
      <c r="N28" s="89">
        <v>0.0</v>
      </c>
      <c r="P28" s="98"/>
      <c r="T28" s="29"/>
      <c r="U28" s="39">
        <v>30.0</v>
      </c>
      <c r="V28" s="93" t="s">
        <v>27</v>
      </c>
      <c r="W28" s="94">
        <v>0.32013888888888886</v>
      </c>
      <c r="X28" s="93" t="s">
        <v>104</v>
      </c>
      <c r="Y28" s="13"/>
      <c r="Z28" s="13"/>
      <c r="AA28" s="29"/>
    </row>
    <row r="29">
      <c r="A29" s="149">
        <v>22.0</v>
      </c>
      <c r="B29" s="159" t="s">
        <v>24</v>
      </c>
      <c r="C29" s="156" t="s">
        <v>100</v>
      </c>
      <c r="D29" s="15"/>
      <c r="E29" s="15"/>
      <c r="F29" s="15"/>
      <c r="G29" s="15"/>
      <c r="H29" s="15"/>
      <c r="I29" s="15"/>
      <c r="J29" s="5"/>
      <c r="K29" s="6"/>
      <c r="L29" s="89" t="str">
        <f t="shared" si="7"/>
        <v>#VALUE!</v>
      </c>
      <c r="M29" s="91" t="str">
        <f t="shared" si="8"/>
        <v>#VALUE!</v>
      </c>
      <c r="N29" s="89">
        <v>0.0</v>
      </c>
      <c r="O29" s="13"/>
      <c r="P29" s="13"/>
      <c r="Q29" s="13"/>
      <c r="R29" s="13"/>
      <c r="T29" s="29"/>
      <c r="U29" s="39"/>
      <c r="V29" s="13"/>
      <c r="W29" s="13"/>
      <c r="X29" s="13"/>
      <c r="Y29" s="13"/>
      <c r="Z29" s="13"/>
      <c r="AA29" s="13"/>
    </row>
    <row r="30">
      <c r="A30" s="149">
        <v>23.0</v>
      </c>
      <c r="B30" s="158" t="s">
        <v>58</v>
      </c>
      <c r="C30" s="156" t="s">
        <v>100</v>
      </c>
      <c r="D30" s="15"/>
      <c r="E30" s="15"/>
      <c r="F30" s="15"/>
      <c r="G30" s="15"/>
      <c r="H30" s="15"/>
      <c r="I30" s="15"/>
      <c r="J30" s="5"/>
      <c r="K30" s="6"/>
      <c r="L30" s="89" t="str">
        <f t="shared" ref="L30:L31" si="9">(#REF!-#REF!)+(#REF!-#REF!)</f>
        <v>#REF!</v>
      </c>
      <c r="M30" s="91" t="str">
        <f t="shared" si="8"/>
        <v>#REF!</v>
      </c>
      <c r="N30" s="89">
        <v>0.0</v>
      </c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149">
        <v>24.0</v>
      </c>
      <c r="B31" s="159" t="s">
        <v>18</v>
      </c>
      <c r="C31" s="156" t="s">
        <v>100</v>
      </c>
      <c r="D31" s="15"/>
      <c r="E31" s="15"/>
      <c r="F31" s="15"/>
      <c r="G31" s="15"/>
      <c r="H31" s="15"/>
      <c r="I31" s="15"/>
      <c r="J31" s="5"/>
      <c r="K31" s="6"/>
      <c r="L31" s="89" t="str">
        <f t="shared" si="9"/>
        <v>#REF!</v>
      </c>
      <c r="M31" s="91" t="str">
        <f t="shared" si="8"/>
        <v>#REF!</v>
      </c>
      <c r="N31" s="89">
        <v>0.0</v>
      </c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149">
        <v>25.0</v>
      </c>
      <c r="B32" s="159" t="s">
        <v>19</v>
      </c>
      <c r="C32" s="156" t="s">
        <v>100</v>
      </c>
      <c r="D32" s="15"/>
      <c r="E32" s="15"/>
      <c r="F32" s="15"/>
      <c r="G32" s="15"/>
      <c r="H32" s="15"/>
      <c r="I32" s="15"/>
      <c r="J32" s="5"/>
      <c r="K32" s="6"/>
      <c r="L32" s="89" t="str">
        <f t="shared" ref="L32:L34" si="10">(E32-C32)+(I32-G32)</f>
        <v>#VALUE!</v>
      </c>
      <c r="M32" s="89">
        <v>0.0</v>
      </c>
      <c r="N32" s="89">
        <v>0.0</v>
      </c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149">
        <v>26.0</v>
      </c>
      <c r="B33" s="159" t="s">
        <v>20</v>
      </c>
      <c r="C33" s="156" t="s">
        <v>100</v>
      </c>
      <c r="D33" s="15"/>
      <c r="E33" s="15"/>
      <c r="F33" s="15"/>
      <c r="G33" s="15"/>
      <c r="H33" s="15"/>
      <c r="I33" s="15"/>
      <c r="J33" s="5"/>
      <c r="K33" s="6"/>
      <c r="L33" s="89" t="str">
        <f t="shared" si="10"/>
        <v>#VALUE!</v>
      </c>
      <c r="M33" s="91" t="str">
        <f t="shared" ref="M33:M34" si="11">IF((L33-$M$3)&gt;$M$4,L33-$M$3,0)</f>
        <v>#VALUE!</v>
      </c>
      <c r="N33" s="89">
        <v>0.0</v>
      </c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149">
        <v>27.0</v>
      </c>
      <c r="B34" s="159" t="s">
        <v>21</v>
      </c>
      <c r="C34" s="156" t="s">
        <v>100</v>
      </c>
      <c r="D34" s="15"/>
      <c r="E34" s="15"/>
      <c r="F34" s="15"/>
      <c r="G34" s="15"/>
      <c r="H34" s="15"/>
      <c r="I34" s="15"/>
      <c r="J34" s="5"/>
      <c r="K34" s="6"/>
      <c r="L34" s="89" t="str">
        <f t="shared" si="10"/>
        <v>#VALUE!</v>
      </c>
      <c r="M34" s="91" t="str">
        <f t="shared" si="11"/>
        <v>#VALUE!</v>
      </c>
      <c r="N34" s="89">
        <v>0.0</v>
      </c>
      <c r="O34" s="31"/>
      <c r="P34" s="35"/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149">
        <v>28.0</v>
      </c>
      <c r="B35" s="159" t="s">
        <v>23</v>
      </c>
      <c r="C35" s="156" t="s">
        <v>100</v>
      </c>
      <c r="D35" s="15"/>
      <c r="E35" s="15"/>
      <c r="F35" s="15"/>
      <c r="G35" s="15"/>
      <c r="H35" s="15"/>
      <c r="I35" s="15"/>
      <c r="J35" s="5"/>
      <c r="L35" s="167">
        <v>0.35208333333333336</v>
      </c>
      <c r="M35" s="130">
        <v>0.0</v>
      </c>
      <c r="N35" s="131"/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149">
        <v>29.0</v>
      </c>
      <c r="B36" s="159" t="s">
        <v>24</v>
      </c>
      <c r="C36" s="156" t="s">
        <v>100</v>
      </c>
      <c r="D36" s="15"/>
      <c r="E36" s="15"/>
      <c r="F36" s="15"/>
      <c r="G36" s="15"/>
      <c r="H36" s="15"/>
      <c r="I36" s="15"/>
      <c r="J36" s="5"/>
      <c r="K36" s="6"/>
      <c r="L36" s="167">
        <v>0.3458333333333333</v>
      </c>
      <c r="M36" s="130">
        <v>0.0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163">
        <v>30.0</v>
      </c>
      <c r="B37" s="159" t="s">
        <v>58</v>
      </c>
      <c r="C37" s="156" t="s">
        <v>100</v>
      </c>
      <c r="D37" s="15"/>
      <c r="E37" s="15"/>
      <c r="F37" s="15"/>
      <c r="G37" s="15"/>
      <c r="H37" s="15"/>
      <c r="I37" s="15"/>
      <c r="J37" s="5"/>
      <c r="K37" s="6"/>
      <c r="L37" s="167">
        <v>0.3472222222222222</v>
      </c>
      <c r="M37" s="130">
        <v>0.0</v>
      </c>
      <c r="N37" s="131"/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A38" s="163">
        <v>31.0</v>
      </c>
      <c r="B38" s="159" t="s">
        <v>18</v>
      </c>
      <c r="C38" s="156" t="s">
        <v>100</v>
      </c>
      <c r="D38" s="15"/>
      <c r="E38" s="15"/>
      <c r="F38" s="15"/>
      <c r="G38" s="15"/>
      <c r="H38" s="15"/>
      <c r="I38" s="15"/>
      <c r="J38" s="5"/>
      <c r="K38" s="6"/>
      <c r="L38" s="104"/>
      <c r="M38" s="104" t="str">
        <f>SUM(M8:M37)</f>
        <v>#VALUE!</v>
      </c>
      <c r="N38" s="82">
        <v>0.0</v>
      </c>
      <c r="O38" s="29"/>
      <c r="P38" s="13"/>
      <c r="Q38" s="13"/>
      <c r="R38" s="13"/>
    </row>
    <row r="39">
      <c r="A39" s="107" t="s">
        <v>128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P39" s="13"/>
      <c r="Q39" s="13"/>
      <c r="R39" s="13"/>
    </row>
    <row r="40">
      <c r="A40" s="107" t="s">
        <v>129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M40" s="35"/>
    </row>
    <row r="41">
      <c r="A41" s="132" t="s">
        <v>130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  <c r="L42" s="31" t="s">
        <v>56</v>
      </c>
    </row>
    <row r="43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  <row r="50">
      <c r="L50" s="141"/>
    </row>
  </sheetData>
  <mergeCells count="118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C29:J29"/>
    <mergeCell ref="C30:J30"/>
    <mergeCell ref="C31:J31"/>
    <mergeCell ref="C32:J32"/>
    <mergeCell ref="C33:J33"/>
    <mergeCell ref="C34:J34"/>
    <mergeCell ref="C35:J35"/>
    <mergeCell ref="C36:J36"/>
    <mergeCell ref="C37:J37"/>
    <mergeCell ref="C38:J38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D44:E44"/>
    <mergeCell ref="D45:E45"/>
    <mergeCell ref="F45:G45"/>
    <mergeCell ref="A39:J39"/>
    <mergeCell ref="A40:J40"/>
    <mergeCell ref="A41:J41"/>
    <mergeCell ref="F42:G42"/>
    <mergeCell ref="D43:E43"/>
    <mergeCell ref="F43:G43"/>
    <mergeCell ref="F44:G44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99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148">
        <v>1.0</v>
      </c>
      <c r="B8" s="155" t="s">
        <v>19</v>
      </c>
      <c r="C8" s="153"/>
      <c r="D8" s="5"/>
      <c r="E8" s="150"/>
      <c r="F8" s="5"/>
      <c r="G8" s="150"/>
      <c r="H8" s="5"/>
      <c r="I8" s="150"/>
      <c r="J8" s="5"/>
      <c r="K8" s="12"/>
      <c r="L8" s="89">
        <v>0.0</v>
      </c>
      <c r="M8" s="90">
        <v>0.0</v>
      </c>
      <c r="N8" s="91"/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149">
        <v>2.0</v>
      </c>
      <c r="B9" s="155" t="s">
        <v>20</v>
      </c>
      <c r="C9" s="150"/>
      <c r="D9" s="5"/>
      <c r="E9" s="150"/>
      <c r="F9" s="5"/>
      <c r="G9" s="150"/>
      <c r="H9" s="5"/>
      <c r="I9" s="150"/>
      <c r="J9" s="5"/>
      <c r="K9" s="86"/>
      <c r="L9" s="89">
        <v>0.0</v>
      </c>
      <c r="M9" s="83">
        <f t="shared" ref="M9:M24" si="1">IF((L9-$M$3)&gt;$M$4,L9-$M$3,0)</f>
        <v>0</v>
      </c>
      <c r="N9" s="91"/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149">
        <v>3.0</v>
      </c>
      <c r="B10" s="158" t="s">
        <v>21</v>
      </c>
      <c r="C10" s="153"/>
      <c r="D10" s="5"/>
      <c r="E10" s="150"/>
      <c r="F10" s="5"/>
      <c r="G10" s="150"/>
      <c r="H10" s="5"/>
      <c r="I10" s="150"/>
      <c r="J10" s="5"/>
      <c r="K10" s="12"/>
      <c r="L10" s="90">
        <f t="shared" ref="L10:L12" si="2">(E10-C10)+(I10-G10)</f>
        <v>0</v>
      </c>
      <c r="M10" s="91">
        <f t="shared" si="1"/>
        <v>0</v>
      </c>
      <c r="N10" s="92">
        <f t="shared" ref="N10:N12" si="3">+IF(($M$3-L10)&gt;$M$4,$M$3-L10,0)</f>
        <v>0.3333333333</v>
      </c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149">
        <v>4.0</v>
      </c>
      <c r="B11" s="159" t="s">
        <v>23</v>
      </c>
      <c r="C11" s="150"/>
      <c r="D11" s="5"/>
      <c r="E11" s="150"/>
      <c r="F11" s="5"/>
      <c r="G11" s="150"/>
      <c r="H11" s="5"/>
      <c r="I11" s="150"/>
      <c r="J11" s="5"/>
      <c r="K11" s="12"/>
      <c r="L11" s="90">
        <f t="shared" si="2"/>
        <v>0</v>
      </c>
      <c r="M11" s="91">
        <f t="shared" si="1"/>
        <v>0</v>
      </c>
      <c r="N11" s="92">
        <f t="shared" si="3"/>
        <v>0.3333333333</v>
      </c>
      <c r="O11" s="13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149">
        <v>5.0</v>
      </c>
      <c r="B12" s="155" t="s">
        <v>24</v>
      </c>
      <c r="C12" s="153"/>
      <c r="D12" s="5"/>
      <c r="E12" s="150"/>
      <c r="F12" s="5"/>
      <c r="G12" s="150"/>
      <c r="H12" s="5"/>
      <c r="I12" s="150"/>
      <c r="J12" s="5"/>
      <c r="K12" s="12"/>
      <c r="L12" s="90">
        <f t="shared" si="2"/>
        <v>0</v>
      </c>
      <c r="M12" s="91">
        <f t="shared" si="1"/>
        <v>0</v>
      </c>
      <c r="N12" s="92">
        <f t="shared" si="3"/>
        <v>0.3333333333</v>
      </c>
      <c r="O12" s="13"/>
      <c r="R12" s="29"/>
      <c r="S12" s="29"/>
      <c r="T12" s="13"/>
      <c r="U12" s="13"/>
      <c r="V12" s="13"/>
      <c r="W12" s="13"/>
      <c r="X12" s="13"/>
    </row>
    <row r="13">
      <c r="A13" s="149">
        <v>6.0</v>
      </c>
      <c r="B13" s="158" t="s">
        <v>58</v>
      </c>
      <c r="C13" s="150"/>
      <c r="D13" s="5"/>
      <c r="E13" s="150"/>
      <c r="F13" s="5"/>
      <c r="G13" s="150"/>
      <c r="H13" s="5"/>
      <c r="I13" s="150"/>
      <c r="J13" s="5"/>
      <c r="K13" s="12"/>
      <c r="L13" s="90">
        <v>0.0</v>
      </c>
      <c r="M13" s="83">
        <f t="shared" si="1"/>
        <v>0</v>
      </c>
      <c r="N13" s="89" t="s">
        <v>46</v>
      </c>
      <c r="O13" s="29"/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149">
        <v>7.0</v>
      </c>
      <c r="B14" s="159" t="s">
        <v>18</v>
      </c>
      <c r="C14" s="153"/>
      <c r="D14" s="5"/>
      <c r="E14" s="150"/>
      <c r="F14" s="5"/>
      <c r="G14" s="150"/>
      <c r="H14" s="5"/>
      <c r="I14" s="150"/>
      <c r="J14" s="5"/>
      <c r="K14" s="12"/>
      <c r="L14" s="89">
        <v>0.0</v>
      </c>
      <c r="M14" s="83">
        <f t="shared" si="1"/>
        <v>0</v>
      </c>
      <c r="N14" s="91"/>
      <c r="O14" s="13"/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149">
        <v>8.0</v>
      </c>
      <c r="B15" s="159" t="s">
        <v>19</v>
      </c>
      <c r="C15" s="150"/>
      <c r="D15" s="5"/>
      <c r="E15" s="150"/>
      <c r="F15" s="5"/>
      <c r="G15" s="150"/>
      <c r="H15" s="5"/>
      <c r="I15" s="150"/>
      <c r="J15" s="5"/>
      <c r="K15" s="12"/>
      <c r="L15" s="90">
        <f t="shared" ref="L15:L24" si="4">(E15-C15)+(I15-G15)</f>
        <v>0</v>
      </c>
      <c r="M15" s="91">
        <f t="shared" si="1"/>
        <v>0</v>
      </c>
      <c r="N15" s="92">
        <f t="shared" ref="N15:N19" si="5">+IF(($M$3-L15)&gt;$M$4,$M$3-L15,0)</f>
        <v>0.3333333333</v>
      </c>
      <c r="O15" s="13"/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149">
        <v>9.0</v>
      </c>
      <c r="B16" s="155" t="s">
        <v>20</v>
      </c>
      <c r="C16" s="151"/>
      <c r="D16" s="5"/>
      <c r="E16" s="151"/>
      <c r="F16" s="5"/>
      <c r="G16" s="151"/>
      <c r="H16" s="5"/>
      <c r="I16" s="151"/>
      <c r="J16" s="5"/>
      <c r="K16" s="12"/>
      <c r="L16" s="90">
        <f t="shared" si="4"/>
        <v>0</v>
      </c>
      <c r="M16" s="91">
        <f t="shared" si="1"/>
        <v>0</v>
      </c>
      <c r="N16" s="92">
        <f t="shared" si="5"/>
        <v>0.3333333333</v>
      </c>
      <c r="O16" s="13"/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149">
        <v>10.0</v>
      </c>
      <c r="B17" s="158" t="s">
        <v>21</v>
      </c>
      <c r="C17" s="150"/>
      <c r="D17" s="5"/>
      <c r="E17" s="150"/>
      <c r="F17" s="5"/>
      <c r="G17" s="150"/>
      <c r="H17" s="5"/>
      <c r="I17" s="150"/>
      <c r="J17" s="5"/>
      <c r="K17" s="46"/>
      <c r="L17" s="90">
        <f t="shared" si="4"/>
        <v>0</v>
      </c>
      <c r="M17" s="91">
        <f t="shared" si="1"/>
        <v>0</v>
      </c>
      <c r="N17" s="92">
        <f t="shared" si="5"/>
        <v>0.3333333333</v>
      </c>
      <c r="O17" s="29"/>
      <c r="R17" s="35">
        <v>0.05138888888888889</v>
      </c>
      <c r="S17" s="29"/>
      <c r="T17" s="13"/>
      <c r="U17" s="13"/>
      <c r="V17" s="13"/>
      <c r="W17" s="13"/>
      <c r="X17" s="13"/>
    </row>
    <row r="18">
      <c r="A18" s="149">
        <v>11.0</v>
      </c>
      <c r="B18" s="159" t="s">
        <v>23</v>
      </c>
      <c r="C18" s="150"/>
      <c r="D18" s="5"/>
      <c r="E18" s="150"/>
      <c r="F18" s="5"/>
      <c r="G18" s="150"/>
      <c r="H18" s="5"/>
      <c r="I18" s="150"/>
      <c r="J18" s="5"/>
      <c r="K18" s="12"/>
      <c r="L18" s="90">
        <f t="shared" si="4"/>
        <v>0</v>
      </c>
      <c r="M18" s="91">
        <f t="shared" si="1"/>
        <v>0</v>
      </c>
      <c r="N18" s="92">
        <f t="shared" si="5"/>
        <v>0.3333333333</v>
      </c>
      <c r="O18" s="13"/>
      <c r="R18" s="29">
        <v>0.0</v>
      </c>
      <c r="S18" s="29"/>
      <c r="T18" s="29"/>
      <c r="U18" s="37"/>
      <c r="V18" s="35"/>
      <c r="W18" s="13"/>
      <c r="X18" s="13"/>
    </row>
    <row r="19">
      <c r="A19" s="149">
        <v>12.0</v>
      </c>
      <c r="B19" s="155" t="s">
        <v>24</v>
      </c>
      <c r="C19" s="150"/>
      <c r="D19" s="5"/>
      <c r="E19" s="150"/>
      <c r="F19" s="5"/>
      <c r="G19" s="150"/>
      <c r="H19" s="5"/>
      <c r="I19" s="150"/>
      <c r="J19" s="5"/>
      <c r="K19" s="12"/>
      <c r="L19" s="90">
        <f t="shared" si="4"/>
        <v>0</v>
      </c>
      <c r="M19" s="91">
        <f t="shared" si="1"/>
        <v>0</v>
      </c>
      <c r="N19" s="92">
        <f t="shared" si="5"/>
        <v>0.3333333333</v>
      </c>
      <c r="O19" s="13"/>
      <c r="R19" s="29"/>
      <c r="S19" s="29"/>
      <c r="T19" s="29"/>
      <c r="U19" s="37"/>
      <c r="V19" s="35"/>
      <c r="W19" s="13"/>
      <c r="X19" s="13"/>
    </row>
    <row r="20">
      <c r="A20" s="149">
        <v>13.0</v>
      </c>
      <c r="B20" s="158" t="s">
        <v>58</v>
      </c>
      <c r="C20" s="150"/>
      <c r="D20" s="5"/>
      <c r="E20" s="150"/>
      <c r="F20" s="5"/>
      <c r="G20" s="150"/>
      <c r="H20" s="5"/>
      <c r="I20" s="150"/>
      <c r="J20" s="5"/>
      <c r="K20" s="12"/>
      <c r="L20" s="90">
        <f t="shared" si="4"/>
        <v>0</v>
      </c>
      <c r="M20" s="91">
        <f t="shared" si="1"/>
        <v>0</v>
      </c>
      <c r="N20" s="89">
        <v>0.0</v>
      </c>
      <c r="O20" s="29"/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149">
        <v>14.0</v>
      </c>
      <c r="B21" s="159" t="s">
        <v>18</v>
      </c>
      <c r="C21" s="150"/>
      <c r="D21" s="5"/>
      <c r="E21" s="151"/>
      <c r="F21" s="5"/>
      <c r="G21" s="151"/>
      <c r="H21" s="5"/>
      <c r="I21" s="150"/>
      <c r="J21" s="5"/>
      <c r="K21" s="46"/>
      <c r="L21" s="90">
        <f t="shared" si="4"/>
        <v>0</v>
      </c>
      <c r="M21" s="91">
        <f t="shared" si="1"/>
        <v>0</v>
      </c>
      <c r="N21" s="90">
        <v>0.0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149">
        <v>15.0</v>
      </c>
      <c r="B22" s="159" t="s">
        <v>19</v>
      </c>
      <c r="C22" s="150"/>
      <c r="D22" s="5"/>
      <c r="E22" s="150"/>
      <c r="F22" s="5"/>
      <c r="G22" s="150"/>
      <c r="H22" s="5"/>
      <c r="I22" s="150"/>
      <c r="J22" s="5"/>
      <c r="K22" s="12"/>
      <c r="L22" s="90">
        <f t="shared" si="4"/>
        <v>0</v>
      </c>
      <c r="M22" s="91">
        <f t="shared" si="1"/>
        <v>0</v>
      </c>
      <c r="N22" s="92">
        <f t="shared" ref="N22:N24" si="6">+IF(($M$3-L22)&gt;$M$4,$M$3-L22,0)</f>
        <v>0.3333333333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149">
        <v>16.0</v>
      </c>
      <c r="B23" s="158" t="s">
        <v>20</v>
      </c>
      <c r="C23" s="150"/>
      <c r="D23" s="5"/>
      <c r="E23" s="150"/>
      <c r="F23" s="5"/>
      <c r="G23" s="150"/>
      <c r="H23" s="5"/>
      <c r="I23" s="150"/>
      <c r="J23" s="5"/>
      <c r="K23" s="12"/>
      <c r="L23" s="90">
        <f t="shared" si="4"/>
        <v>0</v>
      </c>
      <c r="M23" s="91">
        <f t="shared" si="1"/>
        <v>0</v>
      </c>
      <c r="N23" s="92">
        <f t="shared" si="6"/>
        <v>0.3333333333</v>
      </c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149">
        <v>17.0</v>
      </c>
      <c r="B24" s="159" t="s">
        <v>21</v>
      </c>
      <c r="C24" s="150"/>
      <c r="D24" s="5"/>
      <c r="E24" s="150"/>
      <c r="F24" s="5"/>
      <c r="G24" s="150"/>
      <c r="H24" s="5"/>
      <c r="I24" s="150"/>
      <c r="J24" s="5"/>
      <c r="K24" s="12"/>
      <c r="L24" s="90">
        <f t="shared" si="4"/>
        <v>0</v>
      </c>
      <c r="M24" s="91">
        <f t="shared" si="1"/>
        <v>0</v>
      </c>
      <c r="N24" s="92">
        <f t="shared" si="6"/>
        <v>0.3333333333</v>
      </c>
      <c r="R24" s="29">
        <v>0.0</v>
      </c>
      <c r="S24" s="29"/>
      <c r="T24" s="29"/>
      <c r="U24" s="13"/>
      <c r="V24" s="35"/>
      <c r="W24" s="35"/>
      <c r="X24" s="29"/>
    </row>
    <row r="25">
      <c r="A25" s="149">
        <v>18.0</v>
      </c>
      <c r="B25" s="159" t="s">
        <v>23</v>
      </c>
      <c r="C25" s="150"/>
      <c r="D25" s="5"/>
      <c r="E25" s="150"/>
      <c r="F25" s="5"/>
      <c r="G25" s="150"/>
      <c r="H25" s="5"/>
      <c r="I25" s="150"/>
      <c r="J25" s="5"/>
      <c r="K25" s="38"/>
      <c r="L25" s="130">
        <v>0.0</v>
      </c>
      <c r="M25" s="167">
        <v>0.0</v>
      </c>
      <c r="N25" s="130" t="s">
        <v>131</v>
      </c>
      <c r="R25" s="29" t="s">
        <v>46</v>
      </c>
      <c r="S25" s="29"/>
      <c r="T25" s="29"/>
      <c r="U25" s="37"/>
      <c r="V25" s="35"/>
      <c r="W25" s="35"/>
      <c r="X25" s="13"/>
    </row>
    <row r="26">
      <c r="A26" s="149">
        <v>19.0</v>
      </c>
      <c r="B26" s="158" t="s">
        <v>24</v>
      </c>
      <c r="C26" s="150"/>
      <c r="D26" s="5"/>
      <c r="E26" s="150"/>
      <c r="F26" s="5"/>
      <c r="G26" s="150"/>
      <c r="H26" s="5"/>
      <c r="I26" s="150"/>
      <c r="J26" s="5"/>
      <c r="K26" s="40"/>
      <c r="L26" s="90">
        <f>(E26-C26)+(I26-G26)</f>
        <v>0</v>
      </c>
      <c r="M26" s="91">
        <f t="shared" ref="M26:M37" si="7">IF((L26-$M$3)&gt;$M$4,L26-$M$3,0)</f>
        <v>0</v>
      </c>
      <c r="N26" s="92">
        <f>+IF(($M$3-L26)&gt;$M$4,$M$3-L26,0)</f>
        <v>0.3333333333</v>
      </c>
      <c r="R26" s="29"/>
      <c r="S26" s="29"/>
      <c r="T26" s="29"/>
      <c r="U26" s="37"/>
      <c r="V26" s="35"/>
      <c r="W26" s="13"/>
      <c r="X26" s="13"/>
    </row>
    <row r="27">
      <c r="A27" s="149">
        <v>20.0</v>
      </c>
      <c r="B27" s="159" t="s">
        <v>58</v>
      </c>
      <c r="C27" s="153"/>
      <c r="D27" s="5"/>
      <c r="E27" s="150"/>
      <c r="F27" s="5"/>
      <c r="G27" s="150"/>
      <c r="H27" s="5"/>
      <c r="I27" s="150"/>
      <c r="J27" s="5"/>
      <c r="K27" s="12"/>
      <c r="L27" s="89"/>
      <c r="M27" s="83">
        <f t="shared" si="7"/>
        <v>0</v>
      </c>
      <c r="N27" s="90">
        <v>0.005555555555555556</v>
      </c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149">
        <v>21.0</v>
      </c>
      <c r="B28" s="159" t="s">
        <v>18</v>
      </c>
      <c r="C28" s="150"/>
      <c r="D28" s="5"/>
      <c r="E28" s="150"/>
      <c r="F28" s="5"/>
      <c r="G28" s="150"/>
      <c r="H28" s="5"/>
      <c r="I28" s="150"/>
      <c r="J28" s="5"/>
      <c r="K28" s="12"/>
      <c r="L28" s="83">
        <f t="shared" ref="L28:L37" si="8">(E28-C28)+(I28-G28)</f>
        <v>0</v>
      </c>
      <c r="M28" s="83">
        <f t="shared" si="7"/>
        <v>0</v>
      </c>
      <c r="N28" s="83">
        <f>+IF(($M$3-L28)&gt;$M$4,$M$3-L28,0)</f>
        <v>0.3333333333</v>
      </c>
      <c r="P28" s="98"/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149">
        <v>22.0</v>
      </c>
      <c r="B29" s="159" t="s">
        <v>19</v>
      </c>
      <c r="C29" s="153"/>
      <c r="D29" s="5"/>
      <c r="E29" s="150"/>
      <c r="F29" s="5"/>
      <c r="G29" s="150"/>
      <c r="H29" s="5"/>
      <c r="I29" s="150"/>
      <c r="J29" s="5"/>
      <c r="K29" s="12"/>
      <c r="L29" s="83">
        <f t="shared" si="8"/>
        <v>0</v>
      </c>
      <c r="M29" s="83">
        <f t="shared" si="7"/>
        <v>0</v>
      </c>
      <c r="N29" s="83"/>
      <c r="R29" s="29"/>
      <c r="S29" s="29"/>
      <c r="T29" s="13"/>
      <c r="U29" s="13"/>
      <c r="V29" s="13"/>
      <c r="W29" s="13"/>
      <c r="X29" s="13"/>
    </row>
    <row r="30">
      <c r="A30" s="149">
        <v>23.0</v>
      </c>
      <c r="B30" s="158" t="s">
        <v>20</v>
      </c>
      <c r="C30" s="150"/>
      <c r="D30" s="5"/>
      <c r="E30" s="150"/>
      <c r="F30" s="5"/>
      <c r="G30" s="150"/>
      <c r="H30" s="5"/>
      <c r="I30" s="150"/>
      <c r="J30" s="5"/>
      <c r="K30" s="12"/>
      <c r="L30" s="83">
        <f t="shared" si="8"/>
        <v>0</v>
      </c>
      <c r="M30" s="83">
        <f t="shared" si="7"/>
        <v>0</v>
      </c>
      <c r="N30" s="84">
        <v>0.0</v>
      </c>
      <c r="R30" s="29"/>
      <c r="S30" s="29"/>
      <c r="T30" s="29"/>
      <c r="U30" s="37"/>
      <c r="V30" s="29">
        <v>5.3</v>
      </c>
      <c r="W30" s="13"/>
      <c r="X30" s="13"/>
    </row>
    <row r="31">
      <c r="A31" s="149">
        <v>24.0</v>
      </c>
      <c r="B31" s="159" t="s">
        <v>21</v>
      </c>
      <c r="C31" s="153"/>
      <c r="D31" s="5"/>
      <c r="E31" s="150"/>
      <c r="F31" s="5"/>
      <c r="G31" s="150"/>
      <c r="H31" s="5"/>
      <c r="I31" s="150"/>
      <c r="J31" s="5"/>
      <c r="K31" s="12"/>
      <c r="L31" s="83">
        <f t="shared" si="8"/>
        <v>0</v>
      </c>
      <c r="M31" s="83">
        <f t="shared" si="7"/>
        <v>0</v>
      </c>
      <c r="N31" s="83">
        <f t="shared" ref="N31:N35" si="9">+IF(($M$3-L31)&gt;$M$4,$M$3-L31,0)</f>
        <v>0.3333333333</v>
      </c>
      <c r="P31" s="35"/>
      <c r="Q31" s="13"/>
      <c r="R31" s="13"/>
    </row>
    <row r="32">
      <c r="A32" s="149">
        <v>25.0</v>
      </c>
      <c r="B32" s="159" t="s">
        <v>23</v>
      </c>
      <c r="C32" s="150"/>
      <c r="D32" s="5"/>
      <c r="E32" s="150"/>
      <c r="F32" s="5"/>
      <c r="G32" s="150"/>
      <c r="H32" s="5"/>
      <c r="I32" s="150"/>
      <c r="J32" s="5"/>
      <c r="K32" s="12"/>
      <c r="L32" s="83">
        <f t="shared" si="8"/>
        <v>0</v>
      </c>
      <c r="M32" s="83">
        <f t="shared" si="7"/>
        <v>0</v>
      </c>
      <c r="N32" s="83">
        <f t="shared" si="9"/>
        <v>0.3333333333</v>
      </c>
      <c r="P32" s="35"/>
      <c r="Q32" s="29"/>
      <c r="R32" s="29"/>
    </row>
    <row r="33">
      <c r="A33" s="149">
        <v>26.0</v>
      </c>
      <c r="B33" s="159" t="s">
        <v>24</v>
      </c>
      <c r="C33" s="153"/>
      <c r="D33" s="5"/>
      <c r="E33" s="150"/>
      <c r="F33" s="5"/>
      <c r="G33" s="150"/>
      <c r="H33" s="5"/>
      <c r="I33" s="150"/>
      <c r="J33" s="5"/>
      <c r="K33" s="46"/>
      <c r="L33" s="83">
        <f t="shared" si="8"/>
        <v>0</v>
      </c>
      <c r="M33" s="83">
        <f t="shared" si="7"/>
        <v>0</v>
      </c>
      <c r="N33" s="83">
        <f t="shared" si="9"/>
        <v>0.3333333333</v>
      </c>
      <c r="O33" s="31"/>
      <c r="P33" s="35"/>
      <c r="Q33" s="13"/>
      <c r="R33" s="13"/>
    </row>
    <row r="34">
      <c r="A34" s="149">
        <v>27.0</v>
      </c>
      <c r="B34" s="159" t="s">
        <v>58</v>
      </c>
      <c r="C34" s="150"/>
      <c r="D34" s="5"/>
      <c r="E34" s="150"/>
      <c r="F34" s="5"/>
      <c r="G34" s="150"/>
      <c r="H34" s="5"/>
      <c r="I34" s="150"/>
      <c r="J34" s="5"/>
      <c r="K34" s="46"/>
      <c r="L34" s="83">
        <f t="shared" si="8"/>
        <v>0</v>
      </c>
      <c r="M34" s="83">
        <f t="shared" si="7"/>
        <v>0</v>
      </c>
      <c r="N34" s="83">
        <f t="shared" si="9"/>
        <v>0.3333333333</v>
      </c>
      <c r="P34" s="13"/>
      <c r="Q34" s="13"/>
      <c r="R34" s="13"/>
    </row>
    <row r="35">
      <c r="A35" s="149">
        <v>28.0</v>
      </c>
      <c r="B35" s="159" t="s">
        <v>18</v>
      </c>
      <c r="C35" s="151"/>
      <c r="D35" s="5"/>
      <c r="E35" s="151"/>
      <c r="F35" s="5"/>
      <c r="G35" s="151"/>
      <c r="H35" s="5"/>
      <c r="I35" s="151"/>
      <c r="J35" s="5"/>
      <c r="K35" s="46"/>
      <c r="L35" s="83">
        <f t="shared" si="8"/>
        <v>0</v>
      </c>
      <c r="M35" s="83">
        <f t="shared" si="7"/>
        <v>0</v>
      </c>
      <c r="N35" s="83">
        <f t="shared" si="9"/>
        <v>0.3333333333</v>
      </c>
      <c r="P35" s="35"/>
      <c r="Q35" s="13"/>
      <c r="R35" s="43"/>
      <c r="S35" s="101"/>
    </row>
    <row r="36">
      <c r="A36" s="149">
        <v>29.0</v>
      </c>
      <c r="B36" s="159" t="s">
        <v>19</v>
      </c>
      <c r="C36" s="150"/>
      <c r="D36" s="5"/>
      <c r="E36" s="150"/>
      <c r="F36" s="5"/>
      <c r="G36" s="150"/>
      <c r="H36" s="5"/>
      <c r="I36" s="150"/>
      <c r="J36" s="5"/>
      <c r="K36" s="12"/>
      <c r="L36" s="83">
        <f t="shared" si="8"/>
        <v>0</v>
      </c>
      <c r="M36" s="83">
        <f t="shared" si="7"/>
        <v>0</v>
      </c>
      <c r="N36" s="87">
        <v>0.0</v>
      </c>
      <c r="P36" s="35"/>
      <c r="Q36" s="13"/>
      <c r="R36" s="29"/>
      <c r="S36" s="37"/>
    </row>
    <row r="37">
      <c r="A37" s="163">
        <v>30.0</v>
      </c>
      <c r="B37" s="159" t="s">
        <v>20</v>
      </c>
      <c r="C37" s="150"/>
      <c r="D37" s="5"/>
      <c r="E37" s="150"/>
      <c r="F37" s="5"/>
      <c r="G37" s="150"/>
      <c r="H37" s="5"/>
      <c r="I37" s="150"/>
      <c r="J37" s="5"/>
      <c r="K37" s="12"/>
      <c r="L37" s="83">
        <f t="shared" si="8"/>
        <v>0</v>
      </c>
      <c r="M37" s="83">
        <f t="shared" si="7"/>
        <v>0</v>
      </c>
      <c r="N37" s="83">
        <f>+IF(($M$3-L37)&gt;$M$4,$M$3-L37,0)</f>
        <v>0.3333333333</v>
      </c>
      <c r="P37" s="35"/>
      <c r="Q37" s="37"/>
      <c r="R37" s="35"/>
      <c r="S37" s="41"/>
    </row>
    <row r="38">
      <c r="A38" s="163">
        <v>31.0</v>
      </c>
      <c r="B38" s="159" t="s">
        <v>21</v>
      </c>
      <c r="C38" s="150"/>
      <c r="D38" s="5"/>
      <c r="E38" s="150"/>
      <c r="F38" s="5"/>
      <c r="G38" s="150"/>
      <c r="H38" s="5"/>
      <c r="I38" s="150"/>
      <c r="J38" s="5"/>
      <c r="K38" s="6"/>
      <c r="L38" s="104"/>
      <c r="M38" s="105">
        <f>SUM(M8:M37)</f>
        <v>0</v>
      </c>
      <c r="N38" s="106">
        <v>0.22152777777777777</v>
      </c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29"/>
      <c r="M39" s="13"/>
      <c r="N39" s="29"/>
      <c r="O39" s="13"/>
      <c r="P39" s="13"/>
      <c r="Q39" s="13">
        <f>24-8</f>
        <v>16</v>
      </c>
      <c r="R39" s="13"/>
    </row>
    <row r="40">
      <c r="A40" s="107" t="s">
        <v>132</v>
      </c>
      <c r="B40" s="108"/>
      <c r="C40" s="108"/>
      <c r="D40" s="108"/>
      <c r="E40" s="15"/>
      <c r="F40" s="108"/>
      <c r="G40" s="15"/>
      <c r="H40" s="108"/>
      <c r="I40" s="108"/>
      <c r="J40" s="109"/>
      <c r="K40" s="12"/>
      <c r="L40" s="13"/>
      <c r="M40" s="13"/>
      <c r="N40" s="35"/>
      <c r="O40" s="13"/>
      <c r="P40" s="29"/>
      <c r="Q40" s="13"/>
    </row>
    <row r="41">
      <c r="A41" s="107" t="s">
        <v>133</v>
      </c>
      <c r="B41" s="108"/>
      <c r="C41" s="108"/>
      <c r="D41" s="108"/>
      <c r="E41" s="108"/>
      <c r="F41" s="108"/>
      <c r="G41" s="15"/>
      <c r="H41" s="108"/>
      <c r="I41" s="108"/>
      <c r="J41" s="109"/>
      <c r="K41" s="6"/>
      <c r="L41" s="13"/>
      <c r="M41" s="13"/>
      <c r="N41" s="13"/>
      <c r="O41" s="29"/>
      <c r="P41" s="35"/>
      <c r="Q41" s="29"/>
    </row>
    <row r="42">
      <c r="A42" s="107" t="s">
        <v>134</v>
      </c>
      <c r="B42" s="15"/>
      <c r="C42" s="15"/>
      <c r="D42" s="15"/>
      <c r="E42" s="15"/>
      <c r="F42" s="15"/>
      <c r="G42" s="15"/>
      <c r="H42" s="15"/>
      <c r="I42" s="15"/>
      <c r="J42" s="5"/>
      <c r="L42" s="13"/>
      <c r="M42" s="13"/>
      <c r="N42" s="29"/>
      <c r="O42" s="13"/>
      <c r="P42" s="13"/>
      <c r="Q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L43" s="13"/>
      <c r="M43" s="13"/>
      <c r="N43" s="35"/>
      <c r="O43" s="35"/>
      <c r="P43" s="13"/>
      <c r="Q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13"/>
      <c r="O44" s="13"/>
      <c r="P44" s="13"/>
      <c r="Q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C47" s="41"/>
      <c r="L47" s="13"/>
      <c r="M47" s="13"/>
      <c r="N47" s="13"/>
      <c r="O47" s="13"/>
      <c r="P47" s="13"/>
      <c r="Q47" s="13"/>
    </row>
    <row r="48">
      <c r="P48" s="13"/>
      <c r="Q48" s="13"/>
    </row>
  </sheetData>
  <mergeCells count="148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4:E44"/>
    <mergeCell ref="D45:E45"/>
    <mergeCell ref="F45:G45"/>
    <mergeCell ref="A39:J39"/>
    <mergeCell ref="D40:E40"/>
    <mergeCell ref="F40:G40"/>
    <mergeCell ref="F41:G41"/>
    <mergeCell ref="A42:J42"/>
    <mergeCell ref="F43:G43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135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122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5" t="s">
        <v>24</v>
      </c>
      <c r="C8" s="151">
        <v>0.3472222222222222</v>
      </c>
      <c r="D8" s="5"/>
      <c r="E8" s="151">
        <v>0.55625</v>
      </c>
      <c r="F8" s="5"/>
      <c r="G8" s="151">
        <v>0.6013888888888889</v>
      </c>
      <c r="H8" s="5"/>
      <c r="I8" s="151">
        <v>0.75</v>
      </c>
      <c r="J8" s="5"/>
      <c r="K8" s="12"/>
      <c r="L8" s="29">
        <v>10.0</v>
      </c>
      <c r="M8" s="13"/>
      <c r="N8" s="13"/>
      <c r="O8" s="13"/>
      <c r="P8" s="13"/>
      <c r="Q8" s="13"/>
      <c r="R8" s="13"/>
      <c r="S8" s="13"/>
    </row>
    <row r="9">
      <c r="A9" s="149">
        <v>2.0</v>
      </c>
      <c r="B9" s="155" t="s">
        <v>58</v>
      </c>
      <c r="C9" s="151">
        <v>0.34791666666666665</v>
      </c>
      <c r="D9" s="5"/>
      <c r="E9" s="151">
        <v>0.5694444444444444</v>
      </c>
      <c r="F9" s="5"/>
      <c r="G9" s="151">
        <v>0.6173611111111111</v>
      </c>
      <c r="H9" s="5"/>
      <c r="I9" s="151">
        <v>0.7472222222222222</v>
      </c>
      <c r="J9" s="5"/>
      <c r="K9" s="12"/>
      <c r="L9" s="29">
        <v>9.0</v>
      </c>
      <c r="M9" s="31">
        <v>0.0</v>
      </c>
      <c r="N9" s="13"/>
      <c r="O9" s="13"/>
      <c r="P9" s="13"/>
      <c r="Q9" s="13"/>
      <c r="R9" s="13"/>
      <c r="S9" s="13"/>
    </row>
    <row r="10">
      <c r="A10" s="149">
        <v>3.0</v>
      </c>
      <c r="B10" s="158" t="s">
        <v>18</v>
      </c>
      <c r="C10" s="150">
        <v>0.34930555555555554</v>
      </c>
      <c r="D10" s="5"/>
      <c r="E10" s="150">
        <v>0.5548611111111111</v>
      </c>
      <c r="F10" s="5"/>
      <c r="G10" s="150">
        <v>0.6</v>
      </c>
      <c r="H10" s="5"/>
      <c r="I10" s="150">
        <v>0.7486111111111111</v>
      </c>
      <c r="J10" s="5"/>
      <c r="K10" s="12"/>
      <c r="L10" s="29">
        <v>2.0</v>
      </c>
      <c r="M10" s="31">
        <v>6.0</v>
      </c>
      <c r="N10" s="13"/>
      <c r="O10" s="13"/>
      <c r="P10" s="13"/>
      <c r="Q10" s="13"/>
      <c r="R10" s="13"/>
      <c r="S10" s="13"/>
    </row>
    <row r="11">
      <c r="A11" s="149">
        <v>4.0</v>
      </c>
      <c r="B11" s="159" t="s">
        <v>19</v>
      </c>
      <c r="C11" s="150">
        <v>0.3472222222222222</v>
      </c>
      <c r="D11" s="5"/>
      <c r="E11" s="150">
        <v>0.5583333333333333</v>
      </c>
      <c r="F11" s="5"/>
      <c r="G11" s="150">
        <v>0.6006944444444444</v>
      </c>
      <c r="H11" s="5"/>
      <c r="I11" s="150">
        <v>0.7493055555555556</v>
      </c>
      <c r="J11" s="5"/>
      <c r="K11" s="12"/>
      <c r="L11" s="29">
        <v>13.0</v>
      </c>
      <c r="M11" s="13"/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20</v>
      </c>
      <c r="C12" s="150">
        <v>0.35208333333333336</v>
      </c>
      <c r="D12" s="5"/>
      <c r="E12" s="150">
        <v>0.5520833333333334</v>
      </c>
      <c r="F12" s="5"/>
      <c r="G12" s="150">
        <v>0.5979166666666667</v>
      </c>
      <c r="H12" s="5"/>
      <c r="I12" s="150">
        <v>0.7444444444444445</v>
      </c>
      <c r="J12" s="5"/>
      <c r="K12" s="12"/>
      <c r="L12" s="29"/>
      <c r="M12" s="13"/>
      <c r="N12" s="29" t="s">
        <v>27</v>
      </c>
      <c r="O12" s="35">
        <v>0.02361111111111111</v>
      </c>
      <c r="P12" s="29">
        <v>-6.0</v>
      </c>
      <c r="Q12" s="13"/>
      <c r="R12" s="13"/>
      <c r="S12" s="13"/>
    </row>
    <row r="13">
      <c r="A13" s="149">
        <v>6.0</v>
      </c>
      <c r="B13" s="158" t="s">
        <v>21</v>
      </c>
      <c r="C13" s="150">
        <v>0.3298611111111111</v>
      </c>
      <c r="D13" s="5"/>
      <c r="E13" s="150"/>
      <c r="F13" s="5"/>
      <c r="G13" s="150"/>
      <c r="H13" s="5"/>
      <c r="I13" s="150">
        <v>0.5055555555555555</v>
      </c>
      <c r="J13" s="5"/>
      <c r="K13" s="12"/>
      <c r="L13" s="29">
        <v>13.0</v>
      </c>
      <c r="M13" s="29"/>
      <c r="N13" s="29"/>
      <c r="O13" s="29"/>
      <c r="P13" s="13"/>
      <c r="Q13" s="13"/>
      <c r="R13" s="13"/>
      <c r="S13" s="13"/>
    </row>
    <row r="14">
      <c r="A14" s="149">
        <v>7.0</v>
      </c>
      <c r="B14" s="159" t="s">
        <v>23</v>
      </c>
      <c r="C14" s="150"/>
      <c r="D14" s="5"/>
      <c r="E14" s="150"/>
      <c r="F14" s="5"/>
      <c r="G14" s="150"/>
      <c r="H14" s="5"/>
      <c r="I14" s="150"/>
      <c r="J14" s="5"/>
      <c r="K14" s="12"/>
      <c r="L14" s="29"/>
      <c r="M14" s="13"/>
      <c r="N14" s="29"/>
      <c r="O14" s="35"/>
      <c r="P14" s="13"/>
      <c r="Q14" s="13"/>
      <c r="R14" s="13"/>
      <c r="S14" s="29"/>
    </row>
    <row r="15">
      <c r="A15" s="149">
        <v>8.0</v>
      </c>
      <c r="B15" s="159" t="s">
        <v>24</v>
      </c>
      <c r="C15" s="150">
        <v>0.3486111111111111</v>
      </c>
      <c r="D15" s="5"/>
      <c r="E15" s="151">
        <v>0.5548611111111111</v>
      </c>
      <c r="F15" s="5"/>
      <c r="G15" s="151">
        <v>0.6027777777777777</v>
      </c>
      <c r="H15" s="5"/>
      <c r="I15" s="151">
        <v>0.7493055555555556</v>
      </c>
      <c r="J15" s="5"/>
      <c r="K15" s="12"/>
      <c r="L15" s="29">
        <v>0.0</v>
      </c>
      <c r="M15" s="13"/>
      <c r="N15" s="13"/>
      <c r="O15" s="35"/>
      <c r="P15" s="29"/>
      <c r="Q15" s="13"/>
      <c r="R15" s="13"/>
      <c r="S15" s="13"/>
    </row>
    <row r="16">
      <c r="A16" s="149">
        <v>9.0</v>
      </c>
      <c r="B16" s="155" t="s">
        <v>58</v>
      </c>
      <c r="C16" s="151">
        <v>0.34791666666666665</v>
      </c>
      <c r="D16" s="5"/>
      <c r="E16" s="151">
        <v>0.5583333333333333</v>
      </c>
      <c r="F16" s="5"/>
      <c r="G16" s="151">
        <v>0.6055555555555555</v>
      </c>
      <c r="H16" s="5"/>
      <c r="I16" s="151">
        <v>0.75</v>
      </c>
      <c r="J16" s="5"/>
      <c r="K16" s="12"/>
      <c r="L16" s="29">
        <v>6.0</v>
      </c>
      <c r="M16" s="13"/>
      <c r="N16" s="29" t="s">
        <v>27</v>
      </c>
      <c r="O16" s="35">
        <v>0.03680555555555556</v>
      </c>
      <c r="P16" s="29">
        <v>-6.0</v>
      </c>
      <c r="Q16" s="13"/>
      <c r="R16" s="13"/>
      <c r="S16" s="13"/>
    </row>
    <row r="17">
      <c r="A17" s="149">
        <v>10.0</v>
      </c>
      <c r="B17" s="158" t="s">
        <v>18</v>
      </c>
      <c r="C17" s="150">
        <v>0.34791666666666665</v>
      </c>
      <c r="D17" s="5"/>
      <c r="E17" s="150">
        <v>0.5513888888888889</v>
      </c>
      <c r="F17" s="5"/>
      <c r="G17" s="150">
        <v>0.5972222222222222</v>
      </c>
      <c r="H17" s="5"/>
      <c r="I17" s="150">
        <v>0.7465277777777778</v>
      </c>
      <c r="J17" s="5"/>
      <c r="K17" s="12"/>
      <c r="L17" s="29">
        <v>0.0</v>
      </c>
      <c r="M17" s="29"/>
      <c r="N17" s="31"/>
      <c r="O17" s="35"/>
      <c r="P17" s="13"/>
      <c r="Q17" s="13"/>
      <c r="R17" s="13"/>
      <c r="S17" s="13"/>
    </row>
    <row r="18">
      <c r="A18" s="149">
        <v>11.0</v>
      </c>
      <c r="B18" s="159" t="s">
        <v>19</v>
      </c>
      <c r="C18" s="154" t="s">
        <v>136</v>
      </c>
      <c r="D18" s="15"/>
      <c r="E18" s="15"/>
      <c r="F18" s="15"/>
      <c r="G18" s="15"/>
      <c r="H18" s="15"/>
      <c r="I18" s="15"/>
      <c r="J18" s="5"/>
      <c r="K18" s="12"/>
      <c r="M18" s="13"/>
      <c r="N18" s="29"/>
      <c r="O18" s="35"/>
      <c r="P18" s="29"/>
      <c r="Q18" s="13"/>
      <c r="R18" s="13"/>
      <c r="S18" s="13"/>
    </row>
    <row r="19">
      <c r="A19" s="149">
        <v>12.0</v>
      </c>
      <c r="B19" s="155" t="s">
        <v>20</v>
      </c>
      <c r="C19" s="154" t="s">
        <v>136</v>
      </c>
      <c r="D19" s="15"/>
      <c r="E19" s="15"/>
      <c r="F19" s="15"/>
      <c r="G19" s="15"/>
      <c r="H19" s="15"/>
      <c r="I19" s="15"/>
      <c r="J19" s="5"/>
      <c r="K19" s="12"/>
      <c r="L19" s="39"/>
      <c r="M19" s="29"/>
      <c r="N19" s="31"/>
      <c r="O19" s="35"/>
      <c r="P19" s="13"/>
      <c r="Q19" s="13"/>
      <c r="R19" s="13"/>
      <c r="S19" s="13"/>
    </row>
    <row r="20">
      <c r="A20" s="149">
        <v>13.0</v>
      </c>
      <c r="B20" s="158" t="s">
        <v>21</v>
      </c>
      <c r="C20" s="154" t="s">
        <v>136</v>
      </c>
      <c r="D20" s="15"/>
      <c r="E20" s="15"/>
      <c r="F20" s="15"/>
      <c r="G20" s="15"/>
      <c r="H20" s="15"/>
      <c r="I20" s="15"/>
      <c r="J20" s="5"/>
      <c r="K20" s="12"/>
      <c r="L20" s="29">
        <f>SUM(L8:L19)</f>
        <v>53</v>
      </c>
      <c r="M20" s="13"/>
      <c r="N20" s="31"/>
      <c r="O20" s="35"/>
      <c r="P20" s="29"/>
      <c r="Q20" s="13"/>
      <c r="R20" s="13"/>
      <c r="S20" s="29"/>
    </row>
    <row r="21">
      <c r="A21" s="149">
        <v>14.0</v>
      </c>
      <c r="B21" s="159" t="s">
        <v>23</v>
      </c>
      <c r="C21" s="154" t="s">
        <v>136</v>
      </c>
      <c r="D21" s="15"/>
      <c r="E21" s="15"/>
      <c r="F21" s="15"/>
      <c r="G21" s="15"/>
      <c r="H21" s="15"/>
      <c r="I21" s="15"/>
      <c r="J21" s="5"/>
      <c r="K21" s="12"/>
      <c r="L21" s="29"/>
      <c r="M21" s="13"/>
      <c r="N21" s="29"/>
      <c r="O21" s="35"/>
      <c r="P21" s="13"/>
      <c r="Q21" s="13"/>
      <c r="R21" s="13"/>
      <c r="S21" s="29"/>
    </row>
    <row r="22">
      <c r="A22" s="149">
        <v>15.0</v>
      </c>
      <c r="B22" s="159" t="s">
        <v>24</v>
      </c>
      <c r="C22" s="154" t="s">
        <v>136</v>
      </c>
      <c r="D22" s="15"/>
      <c r="E22" s="15"/>
      <c r="F22" s="15"/>
      <c r="G22" s="15"/>
      <c r="H22" s="15"/>
      <c r="I22" s="15"/>
      <c r="J22" s="5"/>
      <c r="K22" s="12"/>
      <c r="L22" s="29"/>
      <c r="M22" s="29"/>
      <c r="N22" s="31"/>
      <c r="O22" s="29"/>
      <c r="P22" s="13"/>
      <c r="Q22" s="13"/>
      <c r="R22" s="13"/>
      <c r="S22" s="13"/>
    </row>
    <row r="23">
      <c r="A23" s="149">
        <v>16.0</v>
      </c>
      <c r="B23" s="158" t="s">
        <v>58</v>
      </c>
      <c r="C23" s="154" t="s">
        <v>136</v>
      </c>
      <c r="D23" s="15"/>
      <c r="E23" s="15"/>
      <c r="F23" s="15"/>
      <c r="G23" s="15"/>
      <c r="H23" s="15"/>
      <c r="I23" s="15"/>
      <c r="J23" s="5"/>
      <c r="K23" s="12"/>
      <c r="L23" s="29"/>
      <c r="M23" s="13"/>
      <c r="N23" s="29"/>
      <c r="O23" s="35"/>
      <c r="P23" s="13"/>
      <c r="Q23" s="13"/>
      <c r="R23" s="13"/>
      <c r="S23" s="29"/>
    </row>
    <row r="24">
      <c r="A24" s="149">
        <v>17.0</v>
      </c>
      <c r="B24" s="159" t="s">
        <v>18</v>
      </c>
      <c r="C24" s="154" t="s">
        <v>136</v>
      </c>
      <c r="D24" s="15"/>
      <c r="E24" s="15"/>
      <c r="F24" s="15"/>
      <c r="G24" s="15"/>
      <c r="H24" s="15"/>
      <c r="I24" s="15"/>
      <c r="J24" s="5"/>
      <c r="K24" s="12"/>
      <c r="L24" s="29"/>
      <c r="M24" s="13"/>
      <c r="N24" s="29"/>
      <c r="O24" s="29"/>
      <c r="P24" s="29"/>
      <c r="Q24" s="13"/>
      <c r="R24" s="13"/>
      <c r="S24" s="13"/>
    </row>
    <row r="25">
      <c r="A25" s="149">
        <v>18.0</v>
      </c>
      <c r="B25" s="159" t="s">
        <v>19</v>
      </c>
      <c r="C25" s="154" t="s">
        <v>136</v>
      </c>
      <c r="D25" s="15"/>
      <c r="E25" s="15"/>
      <c r="F25" s="15"/>
      <c r="G25" s="15"/>
      <c r="H25" s="15"/>
      <c r="I25" s="15"/>
      <c r="J25" s="5"/>
      <c r="K25" s="12"/>
      <c r="L25" s="29"/>
      <c r="M25" s="13"/>
      <c r="N25" s="31"/>
      <c r="O25" s="35"/>
      <c r="P25" s="29"/>
      <c r="Q25" s="13"/>
      <c r="R25" s="13"/>
      <c r="S25" s="13"/>
    </row>
    <row r="26">
      <c r="A26" s="149">
        <v>19.0</v>
      </c>
      <c r="B26" s="158" t="s">
        <v>20</v>
      </c>
      <c r="C26" s="154" t="s">
        <v>136</v>
      </c>
      <c r="D26" s="15"/>
      <c r="E26" s="15"/>
      <c r="F26" s="15"/>
      <c r="G26" s="15"/>
      <c r="H26" s="15"/>
      <c r="I26" s="15"/>
      <c r="J26" s="5"/>
      <c r="K26" s="40"/>
      <c r="L26" s="29"/>
      <c r="M26" s="29"/>
      <c r="N26" s="29"/>
      <c r="O26" s="35"/>
      <c r="P26" s="29"/>
      <c r="Q26" s="13"/>
      <c r="R26" s="13"/>
      <c r="S26" s="31"/>
    </row>
    <row r="27">
      <c r="A27" s="149">
        <v>20.0</v>
      </c>
      <c r="B27" s="159" t="s">
        <v>21</v>
      </c>
      <c r="C27" s="154" t="s">
        <v>136</v>
      </c>
      <c r="D27" s="15"/>
      <c r="E27" s="15"/>
      <c r="F27" s="15"/>
      <c r="G27" s="15"/>
      <c r="H27" s="15"/>
      <c r="I27" s="15"/>
      <c r="J27" s="5"/>
      <c r="K27" s="12"/>
      <c r="L27" s="29"/>
      <c r="M27" s="13"/>
      <c r="N27" s="13"/>
      <c r="O27" s="13"/>
      <c r="P27" s="13"/>
      <c r="Q27" s="13"/>
      <c r="R27" s="13"/>
      <c r="S27" s="13"/>
    </row>
    <row r="28">
      <c r="A28" s="149">
        <v>21.0</v>
      </c>
      <c r="B28" s="159" t="s">
        <v>23</v>
      </c>
      <c r="C28" s="154" t="s">
        <v>136</v>
      </c>
      <c r="D28" s="15"/>
      <c r="E28" s="15"/>
      <c r="F28" s="15"/>
      <c r="G28" s="15"/>
      <c r="H28" s="15"/>
      <c r="I28" s="15"/>
      <c r="J28" s="5"/>
      <c r="K28" s="12"/>
      <c r="L28" s="29"/>
      <c r="M28" s="13"/>
      <c r="N28" s="29"/>
      <c r="O28" s="35"/>
      <c r="P28" s="13"/>
      <c r="Q28" s="13"/>
      <c r="R28" s="13"/>
      <c r="S28" s="29"/>
    </row>
    <row r="29">
      <c r="A29" s="149">
        <v>22.0</v>
      </c>
      <c r="B29" s="159" t="s">
        <v>24</v>
      </c>
      <c r="C29" s="154" t="s">
        <v>136</v>
      </c>
      <c r="D29" s="15"/>
      <c r="E29" s="15"/>
      <c r="F29" s="15"/>
      <c r="G29" s="15"/>
      <c r="H29" s="15"/>
      <c r="I29" s="15"/>
      <c r="J29" s="5"/>
      <c r="K29" s="12"/>
      <c r="L29" s="29"/>
      <c r="M29" s="13"/>
      <c r="N29" s="29"/>
      <c r="O29" s="35"/>
      <c r="P29" s="13"/>
      <c r="Q29" s="13"/>
      <c r="R29" s="13"/>
      <c r="S29" s="29"/>
    </row>
    <row r="30">
      <c r="A30" s="149">
        <v>23.0</v>
      </c>
      <c r="B30" s="158" t="s">
        <v>58</v>
      </c>
      <c r="C30" s="154" t="s">
        <v>136</v>
      </c>
      <c r="D30" s="15"/>
      <c r="E30" s="15"/>
      <c r="F30" s="15"/>
      <c r="G30" s="15"/>
      <c r="H30" s="15"/>
      <c r="I30" s="15"/>
      <c r="J30" s="5"/>
      <c r="K30" s="12"/>
      <c r="L30" s="29"/>
      <c r="M30" s="13"/>
      <c r="N30" s="13"/>
      <c r="O30" s="13"/>
      <c r="P30" s="13"/>
      <c r="Q30" s="13"/>
      <c r="R30" s="13"/>
      <c r="S30" s="13"/>
    </row>
    <row r="31">
      <c r="A31" s="149">
        <v>24.0</v>
      </c>
      <c r="B31" s="159" t="s">
        <v>18</v>
      </c>
      <c r="C31" s="154" t="s">
        <v>136</v>
      </c>
      <c r="D31" s="15"/>
      <c r="E31" s="15"/>
      <c r="F31" s="15"/>
      <c r="G31" s="15"/>
      <c r="H31" s="15"/>
      <c r="I31" s="15"/>
      <c r="J31" s="5"/>
      <c r="K31" s="12"/>
      <c r="L31" s="29"/>
      <c r="M31" s="13"/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19</v>
      </c>
      <c r="C32" s="154" t="s">
        <v>136</v>
      </c>
      <c r="D32" s="15"/>
      <c r="E32" s="15"/>
      <c r="F32" s="15"/>
      <c r="G32" s="15"/>
      <c r="H32" s="15"/>
      <c r="I32" s="15"/>
      <c r="J32" s="5"/>
      <c r="K32" s="12"/>
      <c r="L32" s="29"/>
      <c r="M32" s="13"/>
      <c r="N32" s="29"/>
      <c r="O32" s="29"/>
      <c r="P32" s="29"/>
      <c r="Q32" s="13"/>
      <c r="R32" s="13"/>
      <c r="S32" s="13"/>
    </row>
    <row r="33">
      <c r="A33" s="149">
        <v>26.0</v>
      </c>
      <c r="B33" s="159" t="s">
        <v>20</v>
      </c>
      <c r="C33" s="154" t="s">
        <v>136</v>
      </c>
      <c r="D33" s="15"/>
      <c r="E33" s="15"/>
      <c r="F33" s="15"/>
      <c r="G33" s="15"/>
      <c r="H33" s="15"/>
      <c r="I33" s="15"/>
      <c r="J33" s="5"/>
      <c r="K33" s="12"/>
      <c r="L33" s="29"/>
      <c r="M33" s="29"/>
      <c r="N33" s="31"/>
      <c r="O33" s="35"/>
      <c r="P33" s="29"/>
      <c r="Q33" s="13"/>
      <c r="R33" s="13"/>
      <c r="S33" s="13"/>
    </row>
    <row r="34">
      <c r="A34" s="149">
        <v>27.0</v>
      </c>
      <c r="B34" s="159" t="s">
        <v>21</v>
      </c>
      <c r="C34" s="154" t="s">
        <v>136</v>
      </c>
      <c r="D34" s="15"/>
      <c r="E34" s="15"/>
      <c r="F34" s="15"/>
      <c r="G34" s="15"/>
      <c r="H34" s="15"/>
      <c r="I34" s="15"/>
      <c r="J34" s="5"/>
      <c r="K34" s="12"/>
      <c r="L34" s="29"/>
      <c r="M34" s="29">
        <f>53-6</f>
        <v>47</v>
      </c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149">
        <v>28.0</v>
      </c>
      <c r="B35" s="159" t="s">
        <v>23</v>
      </c>
      <c r="C35" s="154" t="s">
        <v>136</v>
      </c>
      <c r="D35" s="15"/>
      <c r="E35" s="15"/>
      <c r="F35" s="15"/>
      <c r="G35" s="15"/>
      <c r="H35" s="15"/>
      <c r="I35" s="15"/>
      <c r="J35" s="5"/>
      <c r="K35" s="13"/>
      <c r="L35" s="29"/>
      <c r="M35" s="46"/>
      <c r="N35" s="31"/>
      <c r="O35" s="35"/>
      <c r="P35" s="29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24</v>
      </c>
      <c r="C36" s="154" t="s">
        <v>136</v>
      </c>
      <c r="D36" s="15"/>
      <c r="E36" s="15"/>
      <c r="F36" s="15"/>
      <c r="G36" s="15"/>
      <c r="H36" s="15"/>
      <c r="I36" s="15"/>
      <c r="J36" s="5"/>
      <c r="K36" s="12"/>
      <c r="L36" s="29"/>
      <c r="M36" s="13"/>
      <c r="N36" s="29"/>
      <c r="O36" s="35"/>
      <c r="P36" s="29"/>
      <c r="Q36" s="165"/>
      <c r="R36" s="165"/>
      <c r="S36" s="165"/>
    </row>
    <row r="37">
      <c r="A37" s="163">
        <v>30.0</v>
      </c>
      <c r="B37" s="159" t="s">
        <v>58</v>
      </c>
      <c r="C37" s="154" t="s">
        <v>136</v>
      </c>
      <c r="D37" s="15"/>
      <c r="E37" s="15"/>
      <c r="F37" s="15"/>
      <c r="G37" s="15"/>
      <c r="H37" s="15"/>
      <c r="I37" s="15"/>
      <c r="J37" s="5"/>
      <c r="K37" s="12"/>
      <c r="L37" s="29"/>
      <c r="M37" s="13"/>
      <c r="N37" s="29"/>
      <c r="O37" s="35"/>
      <c r="P37" s="13"/>
      <c r="Q37" s="13"/>
      <c r="R37" s="13"/>
      <c r="S37" s="13"/>
    </row>
    <row r="38">
      <c r="A38" s="163">
        <v>31.0</v>
      </c>
      <c r="B38" s="159" t="s">
        <v>18</v>
      </c>
      <c r="C38" s="181" t="s">
        <v>123</v>
      </c>
      <c r="D38" s="15"/>
      <c r="E38" s="15"/>
      <c r="F38" s="15"/>
      <c r="G38" s="15"/>
      <c r="H38" s="15"/>
      <c r="I38" s="15"/>
      <c r="J38" s="5"/>
      <c r="K38" s="6"/>
      <c r="L38" s="35"/>
      <c r="M38" s="13"/>
      <c r="N38" s="35"/>
      <c r="O38" s="13"/>
      <c r="P38" s="13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31"/>
      <c r="O39" s="13"/>
      <c r="P39" s="13"/>
      <c r="Q39" s="13"/>
      <c r="R39" s="13"/>
      <c r="S39" s="13"/>
    </row>
    <row r="40">
      <c r="A40" s="107" t="s">
        <v>137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13"/>
      <c r="Q40" s="13"/>
      <c r="R40" s="13"/>
      <c r="S40" s="13"/>
    </row>
    <row r="41">
      <c r="A41" s="107" t="s">
        <v>138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13"/>
      <c r="Q41" s="13"/>
      <c r="R41" s="13"/>
      <c r="S41" s="13"/>
    </row>
    <row r="42">
      <c r="A42" s="132" t="s">
        <v>139</v>
      </c>
      <c r="B42" s="3"/>
      <c r="C42" s="3"/>
      <c r="D42" s="3"/>
      <c r="E42" s="3"/>
      <c r="F42" s="3"/>
      <c r="G42" s="3"/>
      <c r="H42" s="3"/>
      <c r="I42" s="3"/>
      <c r="J42" s="2"/>
      <c r="K42" s="6"/>
      <c r="M42" s="13"/>
      <c r="N42" s="13"/>
      <c r="O42" s="13"/>
      <c r="P42" s="13"/>
      <c r="Q42" s="13"/>
      <c r="R42" s="13"/>
      <c r="S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M43" s="13"/>
      <c r="N43" s="13"/>
      <c r="O43" s="13"/>
      <c r="P43" s="13"/>
      <c r="Q43" s="13"/>
      <c r="R43" s="13"/>
      <c r="S43" s="13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</sheetData>
  <mergeCells count="84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C16:D16"/>
    <mergeCell ref="E16:F16"/>
    <mergeCell ref="G16:H16"/>
    <mergeCell ref="I16:J16"/>
    <mergeCell ref="C17:D17"/>
    <mergeCell ref="E17:F17"/>
    <mergeCell ref="G17:H17"/>
    <mergeCell ref="I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C34:J34"/>
    <mergeCell ref="C35:J35"/>
    <mergeCell ref="C36:J36"/>
    <mergeCell ref="C37:J37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D44:E44"/>
    <mergeCell ref="D45:E45"/>
    <mergeCell ref="F45:G45"/>
    <mergeCell ref="C38:J38"/>
    <mergeCell ref="A39:J39"/>
    <mergeCell ref="A40:J40"/>
    <mergeCell ref="A41:J41"/>
    <mergeCell ref="A42:J42"/>
    <mergeCell ref="F43:G43"/>
    <mergeCell ref="F44:G44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140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148">
        <v>1.0</v>
      </c>
      <c r="B8" s="155" t="s">
        <v>21</v>
      </c>
      <c r="C8" s="151">
        <v>0.3277777777777778</v>
      </c>
      <c r="D8" s="5"/>
      <c r="E8" s="151"/>
      <c r="F8" s="5"/>
      <c r="G8" s="151"/>
      <c r="H8" s="5"/>
      <c r="I8" s="151">
        <v>0.5</v>
      </c>
      <c r="J8" s="5"/>
      <c r="K8" s="12"/>
      <c r="L8" s="90">
        <v>0.17222222222222222</v>
      </c>
      <c r="M8" s="90">
        <v>0.005555555555555556</v>
      </c>
      <c r="N8" s="91"/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149">
        <v>2.0</v>
      </c>
      <c r="B9" s="155" t="s">
        <v>23</v>
      </c>
      <c r="C9" s="151"/>
      <c r="D9" s="5"/>
      <c r="E9" s="151"/>
      <c r="F9" s="5"/>
      <c r="G9" s="151"/>
      <c r="H9" s="5"/>
      <c r="I9" s="151"/>
      <c r="J9" s="5"/>
      <c r="K9" s="86"/>
      <c r="L9" s="89"/>
      <c r="M9" s="83">
        <f>IF((L9-$M$3)&gt;$M$4,L9-$M$3,0)</f>
        <v>0</v>
      </c>
      <c r="N9" s="91"/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149">
        <v>3.0</v>
      </c>
      <c r="B10" s="158" t="s">
        <v>24</v>
      </c>
      <c r="C10" s="150">
        <v>0.3451388888888889</v>
      </c>
      <c r="D10" s="5"/>
      <c r="E10" s="150">
        <v>0.5430555555555555</v>
      </c>
      <c r="F10" s="5"/>
      <c r="G10" s="150"/>
      <c r="H10" s="5"/>
      <c r="I10" s="150">
        <v>0.7472222222222222</v>
      </c>
      <c r="J10" s="5"/>
      <c r="K10" s="12"/>
      <c r="L10" s="90">
        <v>0.36041666666666666</v>
      </c>
      <c r="M10" s="90">
        <v>0.027083333333333334</v>
      </c>
      <c r="N10" s="91"/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149">
        <v>4.0</v>
      </c>
      <c r="B11" s="159" t="s">
        <v>58</v>
      </c>
      <c r="C11" s="150">
        <v>0.3458333333333333</v>
      </c>
      <c r="D11" s="5"/>
      <c r="E11" s="150">
        <v>0.5416666666666666</v>
      </c>
      <c r="F11" s="5"/>
      <c r="G11" s="150">
        <v>0.5826388888888889</v>
      </c>
      <c r="H11" s="5"/>
      <c r="I11" s="150">
        <v>0.7520833333333333</v>
      </c>
      <c r="J11" s="5"/>
      <c r="K11" s="12"/>
      <c r="L11" s="90">
        <v>0.36527777777777776</v>
      </c>
      <c r="M11" s="90">
        <v>0.03194444444444444</v>
      </c>
      <c r="N11" s="91"/>
      <c r="O11" s="13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149">
        <v>5.0</v>
      </c>
      <c r="B12" s="155" t="s">
        <v>18</v>
      </c>
      <c r="C12" s="150">
        <v>0.3451388888888889</v>
      </c>
      <c r="D12" s="5"/>
      <c r="E12" s="150">
        <v>0.5416666666666666</v>
      </c>
      <c r="F12" s="5"/>
      <c r="G12" s="150">
        <v>0.5826388888888889</v>
      </c>
      <c r="H12" s="5"/>
      <c r="I12" s="150">
        <v>0.7458333333333333</v>
      </c>
      <c r="J12" s="5"/>
      <c r="K12" s="12"/>
      <c r="L12" s="167">
        <v>0.3597222222222222</v>
      </c>
      <c r="M12" s="90">
        <v>0.02638888888888889</v>
      </c>
      <c r="N12" s="91"/>
      <c r="O12" s="13"/>
      <c r="R12" s="29"/>
      <c r="S12" s="29"/>
      <c r="T12" s="13"/>
      <c r="U12" s="13"/>
      <c r="V12" s="13"/>
      <c r="W12" s="13"/>
      <c r="X12" s="13"/>
    </row>
    <row r="13">
      <c r="A13" s="149">
        <v>6.0</v>
      </c>
      <c r="B13" s="158" t="s">
        <v>19</v>
      </c>
      <c r="C13" s="150">
        <v>0.34791666666666665</v>
      </c>
      <c r="D13" s="5"/>
      <c r="E13" s="150">
        <v>0.5444444444444444</v>
      </c>
      <c r="F13" s="5"/>
      <c r="G13" s="150">
        <v>0.6</v>
      </c>
      <c r="H13" s="5"/>
      <c r="I13" s="150">
        <v>0.7284722222222222</v>
      </c>
      <c r="J13" s="5"/>
      <c r="K13" s="12"/>
      <c r="L13" s="90">
        <v>0.325</v>
      </c>
      <c r="M13" s="83">
        <f t="shared" ref="M13:M19" si="1">IF((L13-$M$3)&gt;$M$4,L13-$M$3,0)</f>
        <v>0</v>
      </c>
      <c r="N13" s="90">
        <v>0.008333333333333333</v>
      </c>
      <c r="O13" s="29"/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149">
        <v>7.0</v>
      </c>
      <c r="B14" s="159" t="s">
        <v>20</v>
      </c>
      <c r="C14" s="150">
        <v>0.34791666666666665</v>
      </c>
      <c r="D14" s="5"/>
      <c r="E14" s="150">
        <v>0.5472222222222223</v>
      </c>
      <c r="F14" s="5"/>
      <c r="G14" s="150">
        <v>0.5923611111111111</v>
      </c>
      <c r="H14" s="5"/>
      <c r="I14" s="150">
        <v>0.7291666666666666</v>
      </c>
      <c r="J14" s="5"/>
      <c r="K14" s="12"/>
      <c r="L14" s="90">
        <v>0.33611111111111114</v>
      </c>
      <c r="M14" s="83">
        <f t="shared" si="1"/>
        <v>0</v>
      </c>
      <c r="N14" s="91"/>
      <c r="O14" s="13"/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149">
        <v>8.0</v>
      </c>
      <c r="B15" s="159" t="s">
        <v>21</v>
      </c>
      <c r="C15" s="151">
        <v>0.32708333333333334</v>
      </c>
      <c r="D15" s="5"/>
      <c r="E15" s="151"/>
      <c r="F15" s="5"/>
      <c r="G15" s="151"/>
      <c r="H15" s="5"/>
      <c r="I15" s="151">
        <v>0.4909722222222222</v>
      </c>
      <c r="J15" s="5"/>
      <c r="K15" s="12"/>
      <c r="L15" s="90">
        <v>0.1638888888888889</v>
      </c>
      <c r="M15" s="83">
        <f t="shared" si="1"/>
        <v>0</v>
      </c>
      <c r="N15" s="91"/>
      <c r="O15" s="13"/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149">
        <v>9.0</v>
      </c>
      <c r="B16" s="155" t="s">
        <v>23</v>
      </c>
      <c r="C16" s="151"/>
      <c r="D16" s="5"/>
      <c r="E16" s="151"/>
      <c r="F16" s="5"/>
      <c r="G16" s="151"/>
      <c r="H16" s="5"/>
      <c r="I16" s="151"/>
      <c r="J16" s="5"/>
      <c r="K16" s="12"/>
      <c r="L16" s="89"/>
      <c r="M16" s="83">
        <f t="shared" si="1"/>
        <v>0</v>
      </c>
      <c r="N16" s="91"/>
      <c r="O16" s="13"/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149">
        <v>10.0</v>
      </c>
      <c r="B17" s="158" t="s">
        <v>24</v>
      </c>
      <c r="C17" s="153"/>
      <c r="D17" s="5"/>
      <c r="E17" s="150">
        <v>0.4826388888888889</v>
      </c>
      <c r="F17" s="5"/>
      <c r="G17" s="150"/>
      <c r="H17" s="5"/>
      <c r="I17" s="150"/>
      <c r="J17" s="5"/>
      <c r="K17" s="46"/>
      <c r="L17" s="90">
        <v>0.1701388888888889</v>
      </c>
      <c r="M17" s="83">
        <f t="shared" si="1"/>
        <v>0</v>
      </c>
      <c r="N17" s="89" t="s">
        <v>141</v>
      </c>
      <c r="O17" s="29"/>
      <c r="R17" s="35">
        <v>0.05138888888888889</v>
      </c>
      <c r="S17" s="29"/>
      <c r="T17" s="13"/>
      <c r="U17" s="13"/>
      <c r="V17" s="13"/>
      <c r="W17" s="13"/>
      <c r="X17" s="13"/>
    </row>
    <row r="18">
      <c r="A18" s="149">
        <v>11.0</v>
      </c>
      <c r="B18" s="159" t="s">
        <v>25</v>
      </c>
      <c r="C18" s="150">
        <v>0.34791666666666665</v>
      </c>
      <c r="D18" s="5"/>
      <c r="E18" s="150">
        <v>0.5416666666666666</v>
      </c>
      <c r="F18" s="5"/>
      <c r="G18" s="150">
        <v>0.5833333333333334</v>
      </c>
      <c r="H18" s="5"/>
      <c r="I18" s="150">
        <v>0.7479166666666667</v>
      </c>
      <c r="J18" s="5"/>
      <c r="K18" s="12"/>
      <c r="L18" s="90">
        <f t="shared" ref="L18:L19" si="2">(E18-C18)+(I18-G18)</f>
        <v>0.3583333333</v>
      </c>
      <c r="M18" s="92">
        <f t="shared" si="1"/>
        <v>0.025</v>
      </c>
      <c r="N18" s="91">
        <f t="shared" ref="N18:N19" si="3">+IF(($M$3-L18)&gt;$M$4,$M$3-L18,0)</f>
        <v>0</v>
      </c>
      <c r="O18" s="13"/>
      <c r="R18" s="29">
        <v>0.0</v>
      </c>
      <c r="S18" s="29"/>
      <c r="T18" s="29"/>
      <c r="U18" s="37"/>
      <c r="V18" s="35"/>
      <c r="W18" s="13"/>
      <c r="X18" s="13"/>
    </row>
    <row r="19">
      <c r="A19" s="149">
        <v>12.0</v>
      </c>
      <c r="B19" s="155" t="s">
        <v>18</v>
      </c>
      <c r="C19" s="150">
        <v>0.34652777777777777</v>
      </c>
      <c r="D19" s="5"/>
      <c r="E19" s="150">
        <v>0.5409722222222222</v>
      </c>
      <c r="F19" s="5"/>
      <c r="G19" s="150">
        <v>0.5833333333333334</v>
      </c>
      <c r="H19" s="5"/>
      <c r="I19" s="150">
        <v>0.7444444444444445</v>
      </c>
      <c r="J19" s="5"/>
      <c r="K19" s="12"/>
      <c r="L19" s="90">
        <f t="shared" si="2"/>
        <v>0.3555555556</v>
      </c>
      <c r="M19" s="92">
        <f t="shared" si="1"/>
        <v>0.02222222222</v>
      </c>
      <c r="N19" s="91">
        <f t="shared" si="3"/>
        <v>0</v>
      </c>
      <c r="O19" s="13"/>
      <c r="R19" s="29"/>
      <c r="S19" s="29"/>
      <c r="T19" s="29"/>
      <c r="U19" s="37"/>
      <c r="V19" s="35"/>
      <c r="W19" s="13"/>
      <c r="X19" s="13"/>
    </row>
    <row r="20">
      <c r="A20" s="149">
        <v>13.0</v>
      </c>
      <c r="B20" s="158" t="s">
        <v>19</v>
      </c>
      <c r="C20" s="150">
        <v>0.3458333333333333</v>
      </c>
      <c r="D20" s="5"/>
      <c r="E20" s="150">
        <v>0.5416666666666666</v>
      </c>
      <c r="F20" s="5"/>
      <c r="G20" s="150">
        <v>0.5868055555555556</v>
      </c>
      <c r="H20" s="5"/>
      <c r="I20" s="150">
        <v>0.7291666666666666</v>
      </c>
      <c r="J20" s="5"/>
      <c r="K20" s="12"/>
      <c r="L20" s="90">
        <v>0.3416666666666667</v>
      </c>
      <c r="M20" s="90">
        <v>0.004861111111111111</v>
      </c>
      <c r="N20" s="91"/>
      <c r="O20" s="29"/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149">
        <v>14.0</v>
      </c>
      <c r="B21" s="159" t="s">
        <v>20</v>
      </c>
      <c r="C21" s="150">
        <v>0.34652777777777777</v>
      </c>
      <c r="D21" s="5"/>
      <c r="E21" s="151">
        <v>0.5416666666666666</v>
      </c>
      <c r="F21" s="5"/>
      <c r="G21" s="151">
        <v>0.5923611111111111</v>
      </c>
      <c r="H21" s="5"/>
      <c r="I21" s="150">
        <v>0.7256944444444444</v>
      </c>
      <c r="J21" s="5"/>
      <c r="K21" s="46"/>
      <c r="L21" s="90">
        <f>(E21-C21)+(I21-G21)</f>
        <v>0.3284722222</v>
      </c>
      <c r="M21" s="83">
        <f t="shared" ref="M21:M23" si="4">IF((L21-$M$3)&gt;$M$4,L21-$M$3,0)</f>
        <v>0</v>
      </c>
      <c r="N21" s="90">
        <v>0.004861111111111111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149">
        <v>15.0</v>
      </c>
      <c r="B22" s="159" t="s">
        <v>21</v>
      </c>
      <c r="C22" s="147" t="s">
        <v>78</v>
      </c>
      <c r="D22" s="15"/>
      <c r="E22" s="15"/>
      <c r="F22" s="15"/>
      <c r="G22" s="15"/>
      <c r="H22" s="15"/>
      <c r="I22" s="15"/>
      <c r="J22" s="5"/>
      <c r="K22" s="12"/>
      <c r="L22" s="89">
        <v>0.0</v>
      </c>
      <c r="M22" s="83">
        <f t="shared" si="4"/>
        <v>0</v>
      </c>
      <c r="N22" s="89">
        <v>0.0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149">
        <v>16.0</v>
      </c>
      <c r="B23" s="158" t="s">
        <v>23</v>
      </c>
      <c r="C23" s="150"/>
      <c r="D23" s="5"/>
      <c r="E23" s="150"/>
      <c r="F23" s="5"/>
      <c r="G23" s="150"/>
      <c r="H23" s="5"/>
      <c r="I23" s="150"/>
      <c r="J23" s="5"/>
      <c r="K23" s="12"/>
      <c r="L23" s="89"/>
      <c r="M23" s="83">
        <f t="shared" si="4"/>
        <v>0</v>
      </c>
      <c r="N23" s="91"/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149">
        <v>17.0</v>
      </c>
      <c r="B24" s="159" t="s">
        <v>24</v>
      </c>
      <c r="C24" s="150">
        <v>0.3451388888888889</v>
      </c>
      <c r="D24" s="5"/>
      <c r="E24" s="150">
        <v>0.5458333333333333</v>
      </c>
      <c r="F24" s="5"/>
      <c r="G24" s="150">
        <v>0.5875</v>
      </c>
      <c r="H24" s="5"/>
      <c r="I24" s="150">
        <v>0.7451388888888889</v>
      </c>
      <c r="J24" s="5"/>
      <c r="K24" s="12"/>
      <c r="L24" s="167">
        <v>0.35833333333333334</v>
      </c>
      <c r="M24" s="167">
        <v>0.025</v>
      </c>
      <c r="N24" s="182">
        <v>0.0</v>
      </c>
      <c r="R24" s="29">
        <v>0.0</v>
      </c>
      <c r="S24" s="29"/>
      <c r="T24" s="29"/>
      <c r="U24" s="13"/>
      <c r="V24" s="35"/>
      <c r="W24" s="35"/>
      <c r="X24" s="29"/>
    </row>
    <row r="25">
      <c r="A25" s="149">
        <v>18.0</v>
      </c>
      <c r="B25" s="159" t="s">
        <v>58</v>
      </c>
      <c r="C25" s="150">
        <v>0.3472222222222222</v>
      </c>
      <c r="D25" s="5"/>
      <c r="E25" s="150">
        <v>0.54375</v>
      </c>
      <c r="F25" s="5"/>
      <c r="G25" s="150">
        <v>0.5875</v>
      </c>
      <c r="H25" s="5"/>
      <c r="I25" s="150">
        <v>0.7458333333333333</v>
      </c>
      <c r="J25" s="5"/>
      <c r="K25" s="38"/>
      <c r="L25" s="167">
        <v>0.3548611111111111</v>
      </c>
      <c r="M25" s="167">
        <v>0.021527777777777778</v>
      </c>
      <c r="N25" s="130">
        <v>0.0</v>
      </c>
      <c r="R25" s="29" t="s">
        <v>46</v>
      </c>
      <c r="S25" s="29"/>
      <c r="T25" s="29"/>
      <c r="U25" s="37"/>
      <c r="V25" s="35"/>
      <c r="W25" s="35"/>
      <c r="X25" s="13"/>
    </row>
    <row r="26">
      <c r="A26" s="149">
        <v>19.0</v>
      </c>
      <c r="B26" s="158" t="s">
        <v>18</v>
      </c>
      <c r="C26" s="150">
        <v>0.3472222222222222</v>
      </c>
      <c r="D26" s="5"/>
      <c r="E26" s="150">
        <v>0.5465277777777777</v>
      </c>
      <c r="F26" s="5"/>
      <c r="G26" s="150">
        <v>0.5861111111111111</v>
      </c>
      <c r="H26" s="5"/>
      <c r="I26" s="150">
        <v>0.7506944444444444</v>
      </c>
      <c r="J26" s="5"/>
      <c r="K26" s="40"/>
      <c r="L26" s="90">
        <f>(E26-C26)+(I26-G26)</f>
        <v>0.3638888889</v>
      </c>
      <c r="M26" s="92">
        <f t="shared" ref="M26:M37" si="5">IF((L26-$M$3)&gt;$M$4,L26-$M$3,0)</f>
        <v>0.03055555556</v>
      </c>
      <c r="N26" s="91">
        <f>+IF(($M$3-L26)&gt;$M$4,$M$3-L26,0)</f>
        <v>0</v>
      </c>
      <c r="R26" s="29"/>
      <c r="S26" s="29"/>
      <c r="T26" s="29"/>
      <c r="U26" s="37"/>
      <c r="V26" s="35"/>
      <c r="W26" s="13"/>
      <c r="X26" s="13"/>
    </row>
    <row r="27">
      <c r="A27" s="149">
        <v>20.0</v>
      </c>
      <c r="B27" s="159" t="s">
        <v>19</v>
      </c>
      <c r="C27" s="147" t="s">
        <v>78</v>
      </c>
      <c r="D27" s="15"/>
      <c r="E27" s="15"/>
      <c r="F27" s="15"/>
      <c r="G27" s="15"/>
      <c r="H27" s="15"/>
      <c r="I27" s="15"/>
      <c r="J27" s="5"/>
      <c r="K27" s="12"/>
      <c r="L27" s="89"/>
      <c r="M27" s="83">
        <f t="shared" si="5"/>
        <v>0</v>
      </c>
      <c r="N27" s="91"/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149">
        <v>21.0</v>
      </c>
      <c r="B28" s="159" t="s">
        <v>20</v>
      </c>
      <c r="C28" s="152">
        <v>0.3451388888888889</v>
      </c>
      <c r="D28" s="5"/>
      <c r="E28" s="152">
        <v>0.5416666666666666</v>
      </c>
      <c r="F28" s="5"/>
      <c r="G28" s="152">
        <v>0.5833333333333334</v>
      </c>
      <c r="H28" s="5"/>
      <c r="I28" s="152">
        <v>0.7194444444444444</v>
      </c>
      <c r="J28" s="5"/>
      <c r="K28" s="12"/>
      <c r="L28" s="83">
        <f t="shared" ref="L28:L37" si="6">(E28-C28)+(I28-G28)</f>
        <v>0.3326388889</v>
      </c>
      <c r="M28" s="83">
        <f t="shared" si="5"/>
        <v>0</v>
      </c>
      <c r="N28" s="83">
        <f>+IF(($M$3-L28)&gt;$M$4,$M$3-L28,0)</f>
        <v>0</v>
      </c>
      <c r="P28" s="98"/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149">
        <v>22.0</v>
      </c>
      <c r="B29" s="159" t="s">
        <v>21</v>
      </c>
      <c r="C29" s="150">
        <v>0.32708333333333334</v>
      </c>
      <c r="D29" s="5"/>
      <c r="E29" s="150"/>
      <c r="F29" s="5"/>
      <c r="G29" s="150"/>
      <c r="H29" s="5"/>
      <c r="I29" s="150">
        <v>0.4951388888888889</v>
      </c>
      <c r="J29" s="5"/>
      <c r="K29" s="12"/>
      <c r="L29" s="83">
        <f t="shared" si="6"/>
        <v>0.1680555556</v>
      </c>
      <c r="M29" s="83">
        <f t="shared" si="5"/>
        <v>0</v>
      </c>
      <c r="N29" s="83"/>
      <c r="R29" s="29"/>
      <c r="S29" s="29"/>
      <c r="T29" s="13"/>
      <c r="U29" s="13"/>
      <c r="V29" s="13"/>
      <c r="W29" s="13"/>
      <c r="X29" s="13"/>
    </row>
    <row r="30">
      <c r="A30" s="149">
        <v>23.0</v>
      </c>
      <c r="B30" s="158" t="s">
        <v>23</v>
      </c>
      <c r="C30" s="151"/>
      <c r="D30" s="5"/>
      <c r="E30" s="151"/>
      <c r="F30" s="5"/>
      <c r="G30" s="151"/>
      <c r="H30" s="5"/>
      <c r="I30" s="151"/>
      <c r="J30" s="5"/>
      <c r="K30" s="12"/>
      <c r="L30" s="83">
        <f t="shared" si="6"/>
        <v>0</v>
      </c>
      <c r="M30" s="83">
        <f t="shared" si="5"/>
        <v>0</v>
      </c>
      <c r="N30" s="84">
        <v>0.0</v>
      </c>
      <c r="R30" s="29"/>
      <c r="S30" s="29"/>
      <c r="T30" s="29"/>
      <c r="U30" s="37"/>
      <c r="V30" s="29">
        <v>5.3</v>
      </c>
      <c r="W30" s="13"/>
      <c r="X30" s="13"/>
    </row>
    <row r="31">
      <c r="A31" s="149">
        <v>24.0</v>
      </c>
      <c r="B31" s="159" t="s">
        <v>24</v>
      </c>
      <c r="C31" s="150">
        <v>0.34652777777777777</v>
      </c>
      <c r="D31" s="5"/>
      <c r="E31" s="150">
        <v>0.54375</v>
      </c>
      <c r="F31" s="5"/>
      <c r="G31" s="150">
        <v>0.5833333333333334</v>
      </c>
      <c r="H31" s="5"/>
      <c r="I31" s="150">
        <v>0.7493055555555556</v>
      </c>
      <c r="J31" s="5"/>
      <c r="K31" s="12"/>
      <c r="L31" s="83">
        <f t="shared" si="6"/>
        <v>0.3631944444</v>
      </c>
      <c r="M31" s="83">
        <f t="shared" si="5"/>
        <v>0.02986111111</v>
      </c>
      <c r="N31" s="83">
        <f t="shared" ref="N31:N35" si="7">+IF(($M$3-L31)&gt;$M$4,$M$3-L31,0)</f>
        <v>0</v>
      </c>
      <c r="P31" s="35"/>
      <c r="Q31" s="13"/>
      <c r="R31" s="13"/>
    </row>
    <row r="32">
      <c r="A32" s="149">
        <v>25.0</v>
      </c>
      <c r="B32" s="159" t="s">
        <v>58</v>
      </c>
      <c r="C32" s="41">
        <v>0.34791666666666665</v>
      </c>
      <c r="E32" s="150">
        <v>0.5416666666666666</v>
      </c>
      <c r="F32" s="5"/>
      <c r="G32" s="150">
        <v>0.5826388888888889</v>
      </c>
      <c r="H32" s="5"/>
      <c r="I32" s="150">
        <v>0.7465277777777778</v>
      </c>
      <c r="J32" s="5"/>
      <c r="K32" s="12"/>
      <c r="L32" s="83">
        <f t="shared" si="6"/>
        <v>0.3576388889</v>
      </c>
      <c r="M32" s="83">
        <f t="shared" si="5"/>
        <v>0.02430555556</v>
      </c>
      <c r="N32" s="83">
        <f t="shared" si="7"/>
        <v>0</v>
      </c>
      <c r="P32" s="35"/>
      <c r="Q32" s="29"/>
      <c r="R32" s="29"/>
    </row>
    <row r="33">
      <c r="A33" s="149">
        <v>26.0</v>
      </c>
      <c r="B33" s="159" t="s">
        <v>18</v>
      </c>
      <c r="C33" s="153"/>
      <c r="D33" s="5"/>
      <c r="E33" s="150">
        <v>0.5416666666666666</v>
      </c>
      <c r="F33" s="5"/>
      <c r="G33" s="150">
        <v>0.5805555555555556</v>
      </c>
      <c r="H33" s="5"/>
      <c r="I33" s="150">
        <v>0.7493055555555556</v>
      </c>
      <c r="J33" s="5"/>
      <c r="K33" s="46"/>
      <c r="L33" s="83">
        <f t="shared" si="6"/>
        <v>0.7104166667</v>
      </c>
      <c r="M33" s="83">
        <f t="shared" si="5"/>
        <v>0.3770833333</v>
      </c>
      <c r="N33" s="83">
        <f t="shared" si="7"/>
        <v>0</v>
      </c>
      <c r="O33" s="183" t="s">
        <v>82</v>
      </c>
      <c r="P33" s="35"/>
      <c r="Q33" s="13"/>
      <c r="R33" s="13"/>
    </row>
    <row r="34">
      <c r="A34" s="149">
        <v>27.0</v>
      </c>
      <c r="B34" s="159" t="s">
        <v>26</v>
      </c>
      <c r="C34" s="151">
        <v>0.3458333333333333</v>
      </c>
      <c r="D34" s="5"/>
      <c r="E34" s="151">
        <v>0.5416666666666666</v>
      </c>
      <c r="F34" s="5"/>
      <c r="G34" s="151">
        <v>0.5902777777777778</v>
      </c>
      <c r="H34" s="5"/>
      <c r="I34" s="151">
        <v>0.7284722222222222</v>
      </c>
      <c r="J34" s="5"/>
      <c r="K34" s="46"/>
      <c r="L34" s="83">
        <f t="shared" si="6"/>
        <v>0.3340277778</v>
      </c>
      <c r="M34" s="83">
        <f t="shared" si="5"/>
        <v>0</v>
      </c>
      <c r="N34" s="83">
        <f t="shared" si="7"/>
        <v>0</v>
      </c>
      <c r="P34" s="13"/>
      <c r="Q34" s="13"/>
      <c r="R34" s="13"/>
    </row>
    <row r="35">
      <c r="A35" s="149">
        <v>28.0</v>
      </c>
      <c r="B35" s="159" t="s">
        <v>20</v>
      </c>
      <c r="C35" s="151">
        <v>0.3472222222222222</v>
      </c>
      <c r="D35" s="5"/>
      <c r="E35" s="151">
        <v>0.5416666666666666</v>
      </c>
      <c r="F35" s="5"/>
      <c r="G35" s="151">
        <v>0.5854166666666667</v>
      </c>
      <c r="H35" s="5"/>
      <c r="I35" s="151">
        <v>0.7284722222222222</v>
      </c>
      <c r="J35" s="5"/>
      <c r="K35" s="46"/>
      <c r="L35" s="83">
        <f t="shared" si="6"/>
        <v>0.3375</v>
      </c>
      <c r="M35" s="83">
        <f t="shared" si="5"/>
        <v>0</v>
      </c>
      <c r="N35" s="83">
        <f t="shared" si="7"/>
        <v>0</v>
      </c>
      <c r="P35" s="35"/>
      <c r="Q35" s="13"/>
      <c r="R35" s="43"/>
      <c r="S35" s="101"/>
    </row>
    <row r="36">
      <c r="A36" s="149">
        <v>29.0</v>
      </c>
      <c r="B36" s="159" t="s">
        <v>21</v>
      </c>
      <c r="C36" s="151">
        <v>0.3298611111111111</v>
      </c>
      <c r="D36" s="5"/>
      <c r="E36" s="151"/>
      <c r="F36" s="5"/>
      <c r="G36" s="151"/>
      <c r="H36" s="5"/>
      <c r="I36" s="151">
        <v>0.5006944444444444</v>
      </c>
      <c r="J36" s="5"/>
      <c r="K36" s="12"/>
      <c r="L36" s="83">
        <f t="shared" si="6"/>
        <v>0.1708333333</v>
      </c>
      <c r="M36" s="83">
        <f t="shared" si="5"/>
        <v>0</v>
      </c>
      <c r="N36" s="87">
        <v>0.0</v>
      </c>
      <c r="P36" s="35"/>
      <c r="Q36" s="13"/>
      <c r="R36" s="29"/>
      <c r="S36" s="37"/>
    </row>
    <row r="37">
      <c r="A37" s="163">
        <v>30.0</v>
      </c>
      <c r="B37" s="159" t="s">
        <v>23</v>
      </c>
      <c r="C37" s="151"/>
      <c r="D37" s="5"/>
      <c r="E37" s="151"/>
      <c r="F37" s="5"/>
      <c r="G37" s="151"/>
      <c r="H37" s="5"/>
      <c r="I37" s="151"/>
      <c r="J37" s="5"/>
      <c r="K37" s="12"/>
      <c r="L37" s="83">
        <f t="shared" si="6"/>
        <v>0</v>
      </c>
      <c r="M37" s="83">
        <f t="shared" si="5"/>
        <v>0</v>
      </c>
      <c r="N37" s="83">
        <f>+IF(($M$3-L37)&gt;$M$4,$M$3-L37,0)</f>
        <v>0.3333333333</v>
      </c>
      <c r="P37" s="35"/>
      <c r="Q37" s="37"/>
      <c r="R37" s="35"/>
      <c r="S37" s="41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04"/>
      <c r="M38" s="105">
        <f>SUM(M8:M37)</f>
        <v>0.6513888889</v>
      </c>
      <c r="N38" s="106">
        <v>0.22152777777777777</v>
      </c>
      <c r="O38" s="142" t="s">
        <v>142</v>
      </c>
      <c r="P38" s="13"/>
      <c r="Q38" s="13"/>
      <c r="R38" s="13"/>
    </row>
    <row r="39">
      <c r="A39" s="107" t="s">
        <v>143</v>
      </c>
      <c r="B39" s="108"/>
      <c r="C39" s="108"/>
      <c r="D39" s="108"/>
      <c r="E39" s="15"/>
      <c r="F39" s="108"/>
      <c r="G39" s="15"/>
      <c r="H39" s="108"/>
      <c r="I39" s="108"/>
      <c r="J39" s="109"/>
      <c r="K39" s="6"/>
      <c r="L39" s="29"/>
      <c r="M39" s="13"/>
      <c r="N39" s="29"/>
      <c r="O39" s="13"/>
      <c r="P39" s="13"/>
      <c r="Q39" s="13">
        <f>24-8</f>
        <v>16</v>
      </c>
      <c r="R39" s="13"/>
    </row>
    <row r="40">
      <c r="A40" s="107" t="s">
        <v>144</v>
      </c>
      <c r="B40" s="108"/>
      <c r="C40" s="108"/>
      <c r="D40" s="108"/>
      <c r="E40" s="108"/>
      <c r="F40" s="108"/>
      <c r="G40" s="15"/>
      <c r="H40" s="108"/>
      <c r="I40" s="108"/>
      <c r="J40" s="109"/>
      <c r="K40" s="12"/>
      <c r="L40" s="13"/>
      <c r="M40" s="13"/>
      <c r="N40" s="35"/>
      <c r="O40" s="13"/>
      <c r="P40" s="29"/>
      <c r="Q40" s="13"/>
    </row>
    <row r="41">
      <c r="A41" s="107" t="s">
        <v>145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29"/>
      <c r="P41" s="35"/>
      <c r="Q41" s="29"/>
    </row>
    <row r="42">
      <c r="A42" s="110" t="s">
        <v>35</v>
      </c>
      <c r="B42" s="111"/>
      <c r="C42" s="111"/>
      <c r="D42" s="111"/>
      <c r="E42" s="111"/>
      <c r="F42" s="112"/>
      <c r="H42" s="112"/>
      <c r="I42" s="112"/>
      <c r="J42" s="113"/>
      <c r="L42" s="13"/>
      <c r="M42" s="13"/>
      <c r="N42" s="29"/>
      <c r="O42" s="13"/>
      <c r="P42" s="13"/>
      <c r="Q42" s="13"/>
    </row>
    <row r="43">
      <c r="A43" s="114" t="s">
        <v>36</v>
      </c>
      <c r="B43" s="115"/>
      <c r="C43" s="116" t="s">
        <v>37</v>
      </c>
      <c r="D43" s="115"/>
      <c r="F43" s="115"/>
      <c r="H43" s="115"/>
      <c r="I43" s="115"/>
      <c r="J43" s="117"/>
      <c r="L43" s="13"/>
      <c r="M43" s="13"/>
      <c r="N43" s="35"/>
      <c r="O43" s="35"/>
      <c r="P43" s="13"/>
      <c r="Q43" s="13"/>
    </row>
    <row r="44">
      <c r="A44" s="118"/>
      <c r="B44" s="119"/>
      <c r="C44" s="119"/>
      <c r="D44" s="119"/>
      <c r="E44" s="11"/>
      <c r="F44" s="119"/>
      <c r="G44" s="11"/>
      <c r="H44" s="119"/>
      <c r="I44" s="119"/>
      <c r="J44" s="120"/>
      <c r="L44" s="13"/>
      <c r="M44" s="13"/>
      <c r="N44" s="13"/>
      <c r="O44" s="13"/>
      <c r="P44" s="13"/>
      <c r="Q44" s="13"/>
    </row>
    <row r="45"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C47" s="41"/>
      <c r="L47" s="13"/>
      <c r="M47" s="13"/>
      <c r="N47" s="13"/>
      <c r="O47" s="13"/>
      <c r="P47" s="13"/>
      <c r="Q47" s="13"/>
    </row>
    <row r="48">
      <c r="P48" s="13"/>
      <c r="Q48" s="13"/>
    </row>
  </sheetData>
  <mergeCells count="13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E26:F26"/>
    <mergeCell ref="C27:J27"/>
    <mergeCell ref="C26:D26"/>
    <mergeCell ref="C28:D28"/>
    <mergeCell ref="E28:F28"/>
    <mergeCell ref="G28:H28"/>
    <mergeCell ref="I28:J28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I31:J31"/>
    <mergeCell ref="E31:F31"/>
    <mergeCell ref="G31:H31"/>
    <mergeCell ref="E32:F32"/>
    <mergeCell ref="G32:H32"/>
    <mergeCell ref="I32:J32"/>
    <mergeCell ref="C33:D33"/>
    <mergeCell ref="E33:F33"/>
    <mergeCell ref="E35:F35"/>
    <mergeCell ref="G35:H35"/>
    <mergeCell ref="G33:H33"/>
    <mergeCell ref="I33:J33"/>
    <mergeCell ref="C34:D34"/>
    <mergeCell ref="E34:F34"/>
    <mergeCell ref="G34:H34"/>
    <mergeCell ref="I34:J34"/>
    <mergeCell ref="I35:J35"/>
    <mergeCell ref="D43:E43"/>
    <mergeCell ref="D44:E44"/>
    <mergeCell ref="F44:G44"/>
    <mergeCell ref="A38:J38"/>
    <mergeCell ref="D39:E39"/>
    <mergeCell ref="F39:G39"/>
    <mergeCell ref="F40:G40"/>
    <mergeCell ref="A41:J41"/>
    <mergeCell ref="F42:G42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C21:D21"/>
    <mergeCell ref="E21:F21"/>
    <mergeCell ref="G21:H21"/>
    <mergeCell ref="E24:F24"/>
    <mergeCell ref="G24:H24"/>
    <mergeCell ref="I21:J21"/>
    <mergeCell ref="C22:J22"/>
    <mergeCell ref="C23:D23"/>
    <mergeCell ref="E23:F23"/>
    <mergeCell ref="G23:H23"/>
    <mergeCell ref="I23:J23"/>
    <mergeCell ref="I24:J24"/>
    <mergeCell ref="G26:H26"/>
    <mergeCell ref="I26:J26"/>
    <mergeCell ref="G37:H37"/>
    <mergeCell ref="I37:J37"/>
    <mergeCell ref="C35:D35"/>
    <mergeCell ref="C36:D36"/>
    <mergeCell ref="E36:F36"/>
    <mergeCell ref="G36:H36"/>
    <mergeCell ref="I36:J36"/>
    <mergeCell ref="C37:D37"/>
    <mergeCell ref="E37:F37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  <c r="L5" s="13"/>
      <c r="M5" s="13"/>
      <c r="N5" s="13"/>
    </row>
    <row r="6">
      <c r="A6" s="66" t="s">
        <v>10</v>
      </c>
      <c r="B6" s="123" t="s">
        <v>140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</row>
    <row r="8">
      <c r="A8" s="148">
        <v>1.0</v>
      </c>
      <c r="B8" s="155" t="s">
        <v>21</v>
      </c>
      <c r="C8" s="151">
        <v>0.3298611111111111</v>
      </c>
      <c r="D8" s="5"/>
      <c r="E8" s="151"/>
      <c r="F8" s="5"/>
      <c r="G8" s="151"/>
      <c r="H8" s="5"/>
      <c r="I8" s="151">
        <v>0.5006944444444444</v>
      </c>
      <c r="J8" s="5"/>
      <c r="K8" s="6"/>
      <c r="L8" s="90">
        <f t="shared" ref="L8:L21" si="1">(E8-C8)+(I8-G8)</f>
        <v>0.1708333333</v>
      </c>
      <c r="M8" s="90">
        <v>0.0</v>
      </c>
      <c r="N8" s="89">
        <v>0.0</v>
      </c>
      <c r="S8" s="13"/>
      <c r="T8" s="29"/>
      <c r="U8" s="29"/>
      <c r="V8" s="13"/>
      <c r="W8" s="13"/>
      <c r="X8" s="13"/>
      <c r="Y8" s="13"/>
      <c r="Z8" s="13"/>
    </row>
    <row r="9">
      <c r="A9" s="149">
        <v>2.0</v>
      </c>
      <c r="B9" s="155" t="s">
        <v>23</v>
      </c>
      <c r="C9" s="151"/>
      <c r="D9" s="5"/>
      <c r="E9" s="151"/>
      <c r="F9" s="5"/>
      <c r="G9" s="151"/>
      <c r="H9" s="5"/>
      <c r="I9" s="151"/>
      <c r="J9" s="5"/>
      <c r="K9" s="6"/>
      <c r="L9" s="90">
        <f t="shared" si="1"/>
        <v>0</v>
      </c>
      <c r="M9" s="90">
        <v>0.0</v>
      </c>
      <c r="N9" s="89">
        <v>0.0</v>
      </c>
      <c r="S9" s="13"/>
      <c r="T9" s="29"/>
      <c r="U9" s="29"/>
      <c r="V9" s="13"/>
      <c r="W9" s="13"/>
      <c r="X9" s="13"/>
      <c r="Y9" s="13"/>
      <c r="Z9" s="13"/>
    </row>
    <row r="10">
      <c r="A10" s="149">
        <v>3.0</v>
      </c>
      <c r="B10" s="158" t="s">
        <v>24</v>
      </c>
      <c r="C10" s="153"/>
      <c r="D10" s="5"/>
      <c r="E10" s="150">
        <v>0.5125</v>
      </c>
      <c r="F10" s="5"/>
      <c r="G10" s="150">
        <v>0.5513888888888889</v>
      </c>
      <c r="H10" s="5"/>
      <c r="I10" s="150">
        <v>0.7472222222222222</v>
      </c>
      <c r="J10" s="5"/>
      <c r="K10" s="6"/>
      <c r="L10" s="90">
        <f t="shared" si="1"/>
        <v>0.7083333333</v>
      </c>
      <c r="M10" s="92">
        <f t="shared" ref="M10:M14" si="2">IF((L10-$M$3)&gt;$M$4,L10-$M$3,0)</f>
        <v>0.375</v>
      </c>
      <c r="N10" s="91">
        <f t="shared" ref="N10:N14" si="3">+IF(($M$3-L10)&gt;$M$4,$M$3-L10,0)</f>
        <v>0</v>
      </c>
      <c r="S10" s="13"/>
      <c r="T10" s="29"/>
      <c r="U10" s="29"/>
      <c r="V10" s="13"/>
      <c r="W10" s="13"/>
      <c r="X10" s="13"/>
      <c r="Y10" s="13"/>
      <c r="Z10" s="13"/>
    </row>
    <row r="11">
      <c r="A11" s="149">
        <v>4.0</v>
      </c>
      <c r="B11" s="159" t="s">
        <v>58</v>
      </c>
      <c r="C11" s="150">
        <v>0.35347222222222224</v>
      </c>
      <c r="D11" s="5"/>
      <c r="E11" s="150">
        <v>0.5020833333333333</v>
      </c>
      <c r="F11" s="5"/>
      <c r="G11" s="150">
        <v>0.5416666666666666</v>
      </c>
      <c r="H11" s="5"/>
      <c r="I11" s="150">
        <v>0.75</v>
      </c>
      <c r="J11" s="5"/>
      <c r="K11" s="6"/>
      <c r="L11" s="90">
        <f t="shared" si="1"/>
        <v>0.3569444444</v>
      </c>
      <c r="M11" s="92">
        <f t="shared" si="2"/>
        <v>0.02361111111</v>
      </c>
      <c r="N11" s="91">
        <f t="shared" si="3"/>
        <v>0</v>
      </c>
      <c r="S11" s="13"/>
      <c r="T11" s="29"/>
      <c r="U11" s="29"/>
      <c r="V11" s="13"/>
      <c r="W11" s="13"/>
      <c r="X11" s="13"/>
      <c r="Y11" s="13"/>
      <c r="Z11" s="13"/>
    </row>
    <row r="12">
      <c r="A12" s="149">
        <v>5.0</v>
      </c>
      <c r="B12" s="155" t="s">
        <v>18</v>
      </c>
      <c r="C12" s="150">
        <v>0.34444444444444444</v>
      </c>
      <c r="D12" s="5"/>
      <c r="E12" s="150">
        <v>0.5</v>
      </c>
      <c r="F12" s="5"/>
      <c r="G12" s="150">
        <v>0.5416666666666666</v>
      </c>
      <c r="H12" s="5"/>
      <c r="I12" s="150">
        <v>0.7458333333333333</v>
      </c>
      <c r="J12" s="5"/>
      <c r="K12" s="6"/>
      <c r="L12" s="90">
        <f t="shared" si="1"/>
        <v>0.3597222222</v>
      </c>
      <c r="M12" s="92">
        <f t="shared" si="2"/>
        <v>0.02638888889</v>
      </c>
      <c r="N12" s="91">
        <f t="shared" si="3"/>
        <v>0</v>
      </c>
      <c r="S12" s="13"/>
      <c r="T12" s="29"/>
      <c r="U12" s="29"/>
      <c r="V12" s="13"/>
      <c r="W12" s="13"/>
      <c r="X12" s="13"/>
      <c r="Y12" s="13"/>
      <c r="Z12" s="13"/>
    </row>
    <row r="13">
      <c r="A13" s="149">
        <v>6.0</v>
      </c>
      <c r="B13" s="158" t="s">
        <v>19</v>
      </c>
      <c r="C13" s="150">
        <v>0.34791666666666665</v>
      </c>
      <c r="D13" s="5"/>
      <c r="E13" s="150">
        <v>0.5</v>
      </c>
      <c r="F13" s="5"/>
      <c r="G13" s="150">
        <v>0.5416666666666666</v>
      </c>
      <c r="H13" s="5"/>
      <c r="I13" s="150">
        <v>0.75</v>
      </c>
      <c r="J13" s="5"/>
      <c r="K13" s="6"/>
      <c r="L13" s="90">
        <f t="shared" si="1"/>
        <v>0.3604166667</v>
      </c>
      <c r="M13" s="92">
        <f t="shared" si="2"/>
        <v>0.02708333333</v>
      </c>
      <c r="N13" s="91">
        <f t="shared" si="3"/>
        <v>0</v>
      </c>
      <c r="S13" s="29"/>
      <c r="T13" s="29"/>
      <c r="U13" s="29"/>
      <c r="V13" s="29"/>
      <c r="W13" s="37"/>
      <c r="X13" s="35"/>
      <c r="Y13" s="13"/>
      <c r="Z13" s="13"/>
    </row>
    <row r="14">
      <c r="A14" s="149">
        <v>7.0</v>
      </c>
      <c r="B14" s="159" t="s">
        <v>20</v>
      </c>
      <c r="C14" s="153"/>
      <c r="D14" s="5"/>
      <c r="E14" s="150">
        <v>0.5104166666666666</v>
      </c>
      <c r="F14" s="5"/>
      <c r="G14" s="150">
        <v>0.5520833333333334</v>
      </c>
      <c r="H14" s="5"/>
      <c r="I14" s="150">
        <v>0.7576388888888889</v>
      </c>
      <c r="J14" s="5"/>
      <c r="K14" s="6"/>
      <c r="L14" s="90">
        <f t="shared" si="1"/>
        <v>0.7159722222</v>
      </c>
      <c r="M14" s="92">
        <f t="shared" si="2"/>
        <v>0.3826388889</v>
      </c>
      <c r="N14" s="91">
        <f t="shared" si="3"/>
        <v>0</v>
      </c>
      <c r="S14" s="13"/>
      <c r="T14" s="29"/>
      <c r="U14" s="29"/>
      <c r="V14" s="93" t="s">
        <v>27</v>
      </c>
      <c r="W14" s="94">
        <v>0.11041666666666666</v>
      </c>
      <c r="X14" s="95"/>
      <c r="Y14" s="95"/>
      <c r="Z14" s="13"/>
    </row>
    <row r="15">
      <c r="A15" s="149">
        <v>8.0</v>
      </c>
      <c r="B15" s="159" t="s">
        <v>21</v>
      </c>
      <c r="C15" s="150">
        <v>0.32916666666666666</v>
      </c>
      <c r="D15" s="5"/>
      <c r="E15" s="151"/>
      <c r="F15" s="5"/>
      <c r="G15" s="151"/>
      <c r="H15" s="5"/>
      <c r="I15" s="151">
        <v>0.5027777777777778</v>
      </c>
      <c r="J15" s="5"/>
      <c r="K15" s="6"/>
      <c r="L15" s="90">
        <f t="shared" si="1"/>
        <v>0.1736111111</v>
      </c>
      <c r="M15" s="90">
        <v>0.006944444444444444</v>
      </c>
      <c r="N15" s="89">
        <v>0.0</v>
      </c>
      <c r="S15" s="29"/>
      <c r="T15" s="29"/>
      <c r="U15" s="29"/>
      <c r="V15" s="29"/>
      <c r="W15" s="37"/>
      <c r="X15" s="35"/>
      <c r="Y15" s="13"/>
      <c r="Z15" s="13"/>
    </row>
    <row r="16">
      <c r="A16" s="149">
        <v>9.0</v>
      </c>
      <c r="B16" s="155" t="s">
        <v>23</v>
      </c>
      <c r="C16" s="150"/>
      <c r="D16" s="5"/>
      <c r="E16" s="150"/>
      <c r="F16" s="5"/>
      <c r="G16" s="150"/>
      <c r="H16" s="5"/>
      <c r="I16" s="150"/>
      <c r="J16" s="5"/>
      <c r="K16" s="6"/>
      <c r="L16" s="90">
        <f t="shared" si="1"/>
        <v>0</v>
      </c>
      <c r="M16" s="90">
        <v>0.0</v>
      </c>
      <c r="N16" s="89">
        <v>0.0</v>
      </c>
      <c r="S16" s="13"/>
      <c r="T16" s="29"/>
      <c r="U16" s="29"/>
      <c r="V16" s="13"/>
      <c r="W16" s="13"/>
      <c r="X16" s="13"/>
      <c r="Y16" s="13"/>
      <c r="Z16" s="13"/>
    </row>
    <row r="17">
      <c r="A17" s="149">
        <v>10.0</v>
      </c>
      <c r="B17" s="158" t="s">
        <v>24</v>
      </c>
      <c r="C17" s="150">
        <v>0.34930555555555554</v>
      </c>
      <c r="D17" s="5"/>
      <c r="E17" s="150">
        <v>0.5465277777777777</v>
      </c>
      <c r="F17" s="5"/>
      <c r="G17" s="150">
        <v>0.5881944444444445</v>
      </c>
      <c r="H17" s="5"/>
      <c r="I17" s="150">
        <v>0.6409722222222223</v>
      </c>
      <c r="J17" s="5"/>
      <c r="K17" s="6"/>
      <c r="L17" s="90">
        <f t="shared" si="1"/>
        <v>0.25</v>
      </c>
      <c r="M17" s="90">
        <v>0.0</v>
      </c>
      <c r="N17" s="92">
        <f t="shared" ref="N17:N21" si="4">+IF(($M$3-L17)&gt;$M$4,$M$3-L17,0)</f>
        <v>0.08333333333</v>
      </c>
      <c r="S17" s="13"/>
      <c r="T17" s="35"/>
      <c r="U17" s="29"/>
      <c r="V17" s="13"/>
      <c r="W17" s="13"/>
      <c r="X17" s="13"/>
      <c r="Y17" s="13"/>
      <c r="Z17" s="13"/>
    </row>
    <row r="18">
      <c r="A18" s="149">
        <v>11.0</v>
      </c>
      <c r="B18" s="159" t="s">
        <v>25</v>
      </c>
      <c r="C18" s="150">
        <v>0.3472222222222222</v>
      </c>
      <c r="D18" s="5"/>
      <c r="E18" s="150">
        <v>0.5</v>
      </c>
      <c r="F18" s="5"/>
      <c r="G18" s="150">
        <v>0.5416666666666666</v>
      </c>
      <c r="H18" s="5"/>
      <c r="I18" s="150">
        <v>0.7520833333333333</v>
      </c>
      <c r="J18" s="5"/>
      <c r="K18" s="6"/>
      <c r="L18" s="90">
        <f t="shared" si="1"/>
        <v>0.3631944444</v>
      </c>
      <c r="M18" s="92">
        <f t="shared" ref="M18:M21" si="5">IF((L18-$M$3)&gt;$M$4,L18-$M$3,0)</f>
        <v>0.02986111111</v>
      </c>
      <c r="N18" s="91">
        <f t="shared" si="4"/>
        <v>0</v>
      </c>
      <c r="S18" s="13"/>
      <c r="T18" s="29"/>
      <c r="U18" s="29"/>
      <c r="V18" s="29"/>
      <c r="W18" s="37"/>
      <c r="X18" s="35"/>
      <c r="Y18" s="13"/>
      <c r="Z18" s="13"/>
    </row>
    <row r="19">
      <c r="A19" s="149">
        <v>12.0</v>
      </c>
      <c r="B19" s="155" t="s">
        <v>18</v>
      </c>
      <c r="C19" s="150">
        <v>0.3472222222222222</v>
      </c>
      <c r="D19" s="5"/>
      <c r="E19" s="150">
        <v>0.5</v>
      </c>
      <c r="F19" s="5"/>
      <c r="G19" s="150">
        <v>0.5416666666666666</v>
      </c>
      <c r="H19" s="5"/>
      <c r="I19" s="150">
        <v>0.7451388888888889</v>
      </c>
      <c r="J19" s="5"/>
      <c r="K19" s="6"/>
      <c r="L19" s="90">
        <f t="shared" si="1"/>
        <v>0.35625</v>
      </c>
      <c r="M19" s="92">
        <f t="shared" si="5"/>
        <v>0.02291666667</v>
      </c>
      <c r="N19" s="91">
        <f t="shared" si="4"/>
        <v>0</v>
      </c>
      <c r="S19" s="13"/>
      <c r="T19" s="29"/>
      <c r="U19" s="29"/>
      <c r="V19" s="29"/>
      <c r="W19" s="37"/>
      <c r="X19" s="35"/>
      <c r="Y19" s="13"/>
      <c r="Z19" s="13"/>
    </row>
    <row r="20">
      <c r="A20" s="149">
        <v>13.0</v>
      </c>
      <c r="B20" s="158" t="s">
        <v>19</v>
      </c>
      <c r="C20" s="150">
        <v>0.3458333333333333</v>
      </c>
      <c r="D20" s="5"/>
      <c r="E20" s="150">
        <v>0.5</v>
      </c>
      <c r="F20" s="5"/>
      <c r="G20" s="150">
        <v>0.5416666666666666</v>
      </c>
      <c r="H20" s="5"/>
      <c r="I20" s="150">
        <v>0.7479166666666667</v>
      </c>
      <c r="J20" s="5"/>
      <c r="K20" s="6"/>
      <c r="L20" s="90">
        <f t="shared" si="1"/>
        <v>0.3604166667</v>
      </c>
      <c r="M20" s="92">
        <f t="shared" si="5"/>
        <v>0.02708333333</v>
      </c>
      <c r="N20" s="91">
        <f t="shared" si="4"/>
        <v>0</v>
      </c>
      <c r="S20" s="13"/>
      <c r="T20" s="29"/>
      <c r="U20" s="29"/>
      <c r="V20" s="93" t="s">
        <v>27</v>
      </c>
      <c r="W20" s="94">
        <v>0.2534722222222222</v>
      </c>
      <c r="X20" s="95"/>
      <c r="Y20" s="95"/>
      <c r="Z20" s="13"/>
    </row>
    <row r="21">
      <c r="A21" s="149">
        <v>14.0</v>
      </c>
      <c r="B21" s="159" t="s">
        <v>20</v>
      </c>
      <c r="C21" s="150">
        <v>0.34652777777777777</v>
      </c>
      <c r="D21" s="5"/>
      <c r="E21" s="150">
        <v>0.5090277777777777</v>
      </c>
      <c r="F21" s="5"/>
      <c r="G21" s="150">
        <v>0.5569444444444445</v>
      </c>
      <c r="H21" s="5"/>
      <c r="I21" s="150">
        <v>0.7444444444444445</v>
      </c>
      <c r="J21" s="5"/>
      <c r="K21" s="6"/>
      <c r="L21" s="90">
        <f t="shared" si="1"/>
        <v>0.35</v>
      </c>
      <c r="M21" s="92">
        <f t="shared" si="5"/>
        <v>0.01666666667</v>
      </c>
      <c r="N21" s="91">
        <f t="shared" si="4"/>
        <v>0</v>
      </c>
      <c r="S21" s="29"/>
      <c r="T21" s="96"/>
      <c r="U21" s="29"/>
      <c r="V21" s="29"/>
      <c r="W21" s="37"/>
      <c r="X21" s="35"/>
      <c r="Y21" s="13"/>
      <c r="Z21" s="13"/>
    </row>
    <row r="22">
      <c r="A22" s="149">
        <v>15.0</v>
      </c>
      <c r="B22" s="159" t="s">
        <v>21</v>
      </c>
      <c r="C22" s="147" t="s">
        <v>78</v>
      </c>
      <c r="D22" s="15"/>
      <c r="E22" s="15"/>
      <c r="F22" s="15"/>
      <c r="G22" s="15"/>
      <c r="H22" s="15"/>
      <c r="I22" s="15"/>
      <c r="J22" s="5"/>
      <c r="K22" s="124"/>
      <c r="L22" s="89">
        <v>0.0</v>
      </c>
      <c r="M22" s="90">
        <v>0.0</v>
      </c>
      <c r="N22" s="89">
        <v>0.0</v>
      </c>
      <c r="S22" s="29"/>
      <c r="T22" s="29"/>
      <c r="U22" s="29"/>
      <c r="V22" s="29"/>
      <c r="W22" s="31"/>
      <c r="X22" s="35"/>
      <c r="Y22" s="13"/>
      <c r="Z22" s="13"/>
    </row>
    <row r="23">
      <c r="A23" s="149">
        <v>16.0</v>
      </c>
      <c r="B23" s="158" t="s">
        <v>23</v>
      </c>
      <c r="C23" s="152"/>
      <c r="D23" s="5"/>
      <c r="E23" s="152"/>
      <c r="F23" s="5"/>
      <c r="G23" s="152"/>
      <c r="H23" s="5"/>
      <c r="I23" s="152"/>
      <c r="J23" s="5"/>
      <c r="K23" s="6"/>
      <c r="L23" s="90">
        <f t="shared" ref="L23:L26" si="6">(E23-C23)+(I23-G23)</f>
        <v>0</v>
      </c>
      <c r="M23" s="90">
        <v>0.0</v>
      </c>
      <c r="N23" s="89">
        <v>0.0</v>
      </c>
      <c r="S23" s="13"/>
      <c r="T23" s="29"/>
      <c r="U23" s="29"/>
      <c r="V23" s="93" t="s">
        <v>27</v>
      </c>
      <c r="W23" s="94">
        <v>0.2951388888888889</v>
      </c>
      <c r="X23" s="95"/>
      <c r="Y23" s="95"/>
      <c r="Z23" s="13"/>
    </row>
    <row r="24">
      <c r="A24" s="149">
        <v>17.0</v>
      </c>
      <c r="B24" s="159" t="s">
        <v>24</v>
      </c>
      <c r="C24" s="150">
        <v>0.41944444444444445</v>
      </c>
      <c r="D24" s="5"/>
      <c r="E24" s="150">
        <v>0.5048611111111111</v>
      </c>
      <c r="F24" s="5"/>
      <c r="G24" s="150">
        <v>0.5458333333333333</v>
      </c>
      <c r="H24" s="5"/>
      <c r="I24" s="150">
        <v>0.7451388888888889</v>
      </c>
      <c r="J24" s="5"/>
      <c r="K24" s="6"/>
      <c r="L24" s="90">
        <f t="shared" si="6"/>
        <v>0.2847222222</v>
      </c>
      <c r="M24" s="90">
        <v>0.0</v>
      </c>
      <c r="N24" s="92">
        <f t="shared" ref="N24:N26" si="7">+IF(($M$3-L24)&gt;$M$4,$M$3-L24,0)</f>
        <v>0.04861111111</v>
      </c>
      <c r="S24" s="13"/>
      <c r="T24" s="29"/>
      <c r="U24" s="29"/>
      <c r="V24" s="29"/>
      <c r="W24" s="29"/>
      <c r="X24" s="35"/>
      <c r="Y24" s="13"/>
      <c r="Z24" s="13"/>
    </row>
    <row r="25">
      <c r="A25" s="149">
        <v>18.0</v>
      </c>
      <c r="B25" s="159" t="s">
        <v>58</v>
      </c>
      <c r="C25" s="150">
        <v>0.35138888888888886</v>
      </c>
      <c r="D25" s="5"/>
      <c r="E25" s="150">
        <v>0.5</v>
      </c>
      <c r="F25" s="5"/>
      <c r="G25" s="150">
        <v>0.5472222222222223</v>
      </c>
      <c r="H25" s="5"/>
      <c r="I25" s="150">
        <v>0.7506944444444444</v>
      </c>
      <c r="J25" s="5"/>
      <c r="K25" s="6"/>
      <c r="L25" s="90">
        <f t="shared" si="6"/>
        <v>0.3520833333</v>
      </c>
      <c r="M25" s="92">
        <f t="shared" ref="M25:M26" si="8">IF((L25-$M$3)&gt;$M$4,L25-$M$3,0)</f>
        <v>0.01875</v>
      </c>
      <c r="N25" s="91">
        <f t="shared" si="7"/>
        <v>0</v>
      </c>
      <c r="S25" s="13"/>
      <c r="T25" s="29"/>
      <c r="U25" s="29"/>
      <c r="V25" s="13"/>
      <c r="W25" s="13"/>
      <c r="X25" s="13"/>
      <c r="Y25" s="13"/>
      <c r="Z25" s="13"/>
    </row>
    <row r="26">
      <c r="A26" s="149">
        <v>19.0</v>
      </c>
      <c r="B26" s="158" t="s">
        <v>18</v>
      </c>
      <c r="C26" s="150">
        <v>0.35833333333333334</v>
      </c>
      <c r="D26" s="5"/>
      <c r="E26" s="150">
        <v>0.5</v>
      </c>
      <c r="F26" s="5"/>
      <c r="G26" s="150">
        <v>0.5416666666666666</v>
      </c>
      <c r="H26" s="5"/>
      <c r="I26" s="150">
        <v>0.7506944444444444</v>
      </c>
      <c r="J26" s="5"/>
      <c r="K26" s="127"/>
      <c r="L26" s="90">
        <f t="shared" si="6"/>
        <v>0.3506944444</v>
      </c>
      <c r="M26" s="92">
        <f t="shared" si="8"/>
        <v>0.01736111111</v>
      </c>
      <c r="N26" s="91">
        <f t="shared" si="7"/>
        <v>0</v>
      </c>
      <c r="S26" s="29"/>
      <c r="T26" s="29"/>
      <c r="U26" s="29"/>
      <c r="V26" s="29"/>
      <c r="W26" s="37"/>
      <c r="X26" s="35"/>
      <c r="Y26" s="13"/>
      <c r="Z26" s="13"/>
    </row>
    <row r="27">
      <c r="A27" s="149">
        <v>20.0</v>
      </c>
      <c r="B27" s="159" t="s">
        <v>19</v>
      </c>
      <c r="C27" s="147" t="s">
        <v>78</v>
      </c>
      <c r="D27" s="15"/>
      <c r="E27" s="15"/>
      <c r="F27" s="15"/>
      <c r="G27" s="15"/>
      <c r="H27" s="15"/>
      <c r="I27" s="15"/>
      <c r="J27" s="5"/>
      <c r="K27" s="6"/>
      <c r="L27" s="89">
        <v>0.0</v>
      </c>
      <c r="M27" s="90">
        <v>0.0</v>
      </c>
      <c r="N27" s="89">
        <v>0.0</v>
      </c>
      <c r="S27" s="13"/>
      <c r="T27" s="29"/>
      <c r="U27" s="29"/>
      <c r="V27" s="13"/>
      <c r="W27" s="13"/>
      <c r="X27" s="13"/>
      <c r="Y27" s="13"/>
      <c r="Z27" s="13"/>
    </row>
    <row r="28">
      <c r="A28" s="149">
        <v>21.0</v>
      </c>
      <c r="B28" s="159" t="s">
        <v>20</v>
      </c>
      <c r="C28" s="150">
        <v>0.3451388888888889</v>
      </c>
      <c r="D28" s="5"/>
      <c r="E28" s="150">
        <v>0.5</v>
      </c>
      <c r="F28" s="5"/>
      <c r="G28" s="150">
        <v>0.5430555555555555</v>
      </c>
      <c r="H28" s="5"/>
      <c r="I28" s="150">
        <v>0.7458333333333333</v>
      </c>
      <c r="J28" s="5"/>
      <c r="K28" s="6"/>
      <c r="L28" s="90">
        <f t="shared" ref="L28:L38" si="9">(E28-C28)+(I28-G28)</f>
        <v>0.3576388889</v>
      </c>
      <c r="M28" s="92">
        <f>IF((L28-$M$3)&gt;$M$4,L28-$M$3,0)</f>
        <v>0.02430555556</v>
      </c>
      <c r="N28" s="91">
        <f>+IF(($M$3-L28)&gt;$M$4,$M$3-L28,0)</f>
        <v>0</v>
      </c>
      <c r="S28" s="13"/>
      <c r="T28" s="29"/>
      <c r="U28" s="39"/>
      <c r="V28" s="93" t="s">
        <v>27</v>
      </c>
      <c r="W28" s="94">
        <v>0.38055555555555554</v>
      </c>
      <c r="X28" s="93" t="s">
        <v>70</v>
      </c>
      <c r="Y28" s="95"/>
      <c r="Z28" s="13"/>
    </row>
    <row r="29">
      <c r="A29" s="149">
        <v>22.0</v>
      </c>
      <c r="B29" s="159" t="s">
        <v>21</v>
      </c>
      <c r="C29" s="150">
        <v>0.3284722222222222</v>
      </c>
      <c r="D29" s="5"/>
      <c r="E29" s="150"/>
      <c r="F29" s="5"/>
      <c r="G29" s="150"/>
      <c r="H29" s="5"/>
      <c r="I29" s="150">
        <v>0.4951388888888889</v>
      </c>
      <c r="J29" s="5"/>
      <c r="K29" s="145"/>
      <c r="L29" s="90">
        <f t="shared" si="9"/>
        <v>0.1666666667</v>
      </c>
      <c r="M29" s="90">
        <v>0.0</v>
      </c>
      <c r="N29" s="89">
        <v>0.0</v>
      </c>
      <c r="O29" s="13"/>
      <c r="P29" s="13"/>
      <c r="Q29" s="13"/>
      <c r="R29" s="13"/>
      <c r="S29" s="13"/>
    </row>
    <row r="30">
      <c r="A30" s="149">
        <v>23.0</v>
      </c>
      <c r="B30" s="158" t="s">
        <v>23</v>
      </c>
      <c r="C30" s="151"/>
      <c r="D30" s="5"/>
      <c r="E30" s="151"/>
      <c r="F30" s="5"/>
      <c r="G30" s="151"/>
      <c r="H30" s="5"/>
      <c r="I30" s="151"/>
      <c r="J30" s="5"/>
      <c r="K30" s="6"/>
      <c r="L30" s="90">
        <f t="shared" si="9"/>
        <v>0</v>
      </c>
      <c r="M30" s="90">
        <v>0.0</v>
      </c>
      <c r="N30" s="89">
        <v>0.0</v>
      </c>
      <c r="O30" s="37"/>
      <c r="P30" s="35"/>
      <c r="Q30" s="13"/>
      <c r="R30" s="13"/>
      <c r="S30" s="29"/>
    </row>
    <row r="31">
      <c r="A31" s="149">
        <v>24.0</v>
      </c>
      <c r="B31" s="159" t="s">
        <v>24</v>
      </c>
      <c r="C31" s="151">
        <v>0.35625</v>
      </c>
      <c r="D31" s="5"/>
      <c r="E31" s="151">
        <v>0.5</v>
      </c>
      <c r="F31" s="5"/>
      <c r="G31" s="151">
        <v>0.5416666666666666</v>
      </c>
      <c r="H31" s="5"/>
      <c r="I31" s="151">
        <v>0.75</v>
      </c>
      <c r="J31" s="5"/>
      <c r="K31" s="6"/>
      <c r="L31" s="90">
        <f t="shared" si="9"/>
        <v>0.3520833333</v>
      </c>
      <c r="M31" s="92">
        <f t="shared" ref="M31:M35" si="10">IF((L31-$M$3)&gt;$M$4,L31-$M$3,0)</f>
        <v>0.01875</v>
      </c>
      <c r="N31" s="91">
        <f t="shared" ref="N31:N35" si="11">+IF(($M$3-L31)&gt;$M$4,$M$3-L31,0)</f>
        <v>0</v>
      </c>
      <c r="O31" s="13"/>
      <c r="P31" s="13"/>
      <c r="Q31" s="13"/>
      <c r="R31" s="13"/>
      <c r="S31" s="13"/>
    </row>
    <row r="32">
      <c r="A32" s="149">
        <v>25.0</v>
      </c>
      <c r="B32" s="159" t="s">
        <v>58</v>
      </c>
      <c r="C32" s="151">
        <v>0.34791666666666665</v>
      </c>
      <c r="D32" s="5"/>
      <c r="E32" s="151">
        <v>0.5</v>
      </c>
      <c r="F32" s="5"/>
      <c r="G32" s="151">
        <v>0.5458333333333333</v>
      </c>
      <c r="H32" s="5"/>
      <c r="I32" s="151">
        <v>0.75</v>
      </c>
      <c r="J32" s="5"/>
      <c r="K32" s="6"/>
      <c r="L32" s="90">
        <f t="shared" si="9"/>
        <v>0.35625</v>
      </c>
      <c r="M32" s="92">
        <f t="shared" si="10"/>
        <v>0.02291666667</v>
      </c>
      <c r="N32" s="91">
        <f t="shared" si="11"/>
        <v>0</v>
      </c>
      <c r="O32" s="31"/>
      <c r="P32" s="35"/>
      <c r="Q32" s="13"/>
      <c r="R32" s="13"/>
      <c r="S32" s="29"/>
    </row>
    <row r="33">
      <c r="A33" s="149">
        <v>26.0</v>
      </c>
      <c r="B33" s="159" t="s">
        <v>18</v>
      </c>
      <c r="C33" s="150">
        <v>0.34791666666666665</v>
      </c>
      <c r="D33" s="5"/>
      <c r="E33" s="150">
        <v>0.5</v>
      </c>
      <c r="F33" s="5"/>
      <c r="G33" s="150">
        <v>0.5416666666666666</v>
      </c>
      <c r="H33" s="5"/>
      <c r="I33" s="150">
        <v>0.7493055555555556</v>
      </c>
      <c r="J33" s="5"/>
      <c r="K33" s="6"/>
      <c r="L33" s="90">
        <f t="shared" si="9"/>
        <v>0.3597222222</v>
      </c>
      <c r="M33" s="92">
        <f t="shared" si="10"/>
        <v>0.02638888889</v>
      </c>
      <c r="N33" s="91">
        <f t="shared" si="11"/>
        <v>0</v>
      </c>
      <c r="O33" s="183" t="s">
        <v>82</v>
      </c>
      <c r="P33" s="35"/>
      <c r="Q33" s="13"/>
      <c r="R33" s="13"/>
      <c r="S33" s="13"/>
    </row>
    <row r="34">
      <c r="A34" s="149">
        <v>27.0</v>
      </c>
      <c r="B34" s="159" t="s">
        <v>26</v>
      </c>
      <c r="C34" s="150">
        <v>0.34652777777777777</v>
      </c>
      <c r="D34" s="5"/>
      <c r="E34" s="150">
        <v>0.5</v>
      </c>
      <c r="F34" s="5"/>
      <c r="G34" s="150">
        <v>0.5416666666666666</v>
      </c>
      <c r="H34" s="5"/>
      <c r="I34" s="150">
        <v>0.7534722222222222</v>
      </c>
      <c r="J34" s="5"/>
      <c r="K34" s="6"/>
      <c r="L34" s="90">
        <f t="shared" si="9"/>
        <v>0.3652777778</v>
      </c>
      <c r="M34" s="92">
        <f t="shared" si="10"/>
        <v>0.03194444444</v>
      </c>
      <c r="N34" s="91">
        <f t="shared" si="11"/>
        <v>0</v>
      </c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9" t="s">
        <v>20</v>
      </c>
      <c r="C35" s="151">
        <v>0.3472222222222222</v>
      </c>
      <c r="D35" s="5"/>
      <c r="E35" s="151">
        <v>0.5</v>
      </c>
      <c r="F35" s="5"/>
      <c r="G35" s="151">
        <v>0.5416666666666666</v>
      </c>
      <c r="H35" s="5"/>
      <c r="I35" s="151">
        <v>0.7465277777777778</v>
      </c>
      <c r="J35" s="5"/>
      <c r="L35" s="90">
        <f t="shared" si="9"/>
        <v>0.3576388889</v>
      </c>
      <c r="M35" s="92">
        <f t="shared" si="10"/>
        <v>0.02430555556</v>
      </c>
      <c r="N35" s="91">
        <f t="shared" si="11"/>
        <v>0</v>
      </c>
      <c r="O35" s="37"/>
      <c r="P35" s="35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21</v>
      </c>
      <c r="C36" s="151">
        <v>0.3597222222222222</v>
      </c>
      <c r="D36" s="5"/>
      <c r="E36" s="151"/>
      <c r="F36" s="5"/>
      <c r="G36" s="151"/>
      <c r="H36" s="5"/>
      <c r="I36" s="151">
        <v>0.5006944444444444</v>
      </c>
      <c r="J36" s="5"/>
      <c r="K36" s="6"/>
      <c r="L36" s="90">
        <f t="shared" si="9"/>
        <v>0.1409722222</v>
      </c>
      <c r="M36" s="90">
        <v>0.0</v>
      </c>
      <c r="N36" s="90">
        <v>0.025694444444444443</v>
      </c>
      <c r="O36" s="29" t="s">
        <v>146</v>
      </c>
      <c r="P36" s="35"/>
      <c r="Q36" s="13"/>
      <c r="R36" s="13"/>
      <c r="S36" s="13"/>
    </row>
    <row r="37">
      <c r="A37" s="163">
        <v>30.0</v>
      </c>
      <c r="B37" s="159" t="s">
        <v>23</v>
      </c>
      <c r="C37" s="151"/>
      <c r="D37" s="5"/>
      <c r="E37" s="151"/>
      <c r="F37" s="5"/>
      <c r="G37" s="151"/>
      <c r="H37" s="5"/>
      <c r="I37" s="151"/>
      <c r="J37" s="5"/>
      <c r="K37" s="6"/>
      <c r="L37" s="90">
        <f t="shared" si="9"/>
        <v>0</v>
      </c>
      <c r="M37" s="90">
        <v>0.0</v>
      </c>
      <c r="N37" s="89">
        <v>0.0</v>
      </c>
      <c r="O37" s="37"/>
      <c r="P37" s="35"/>
      <c r="Q37" s="13"/>
      <c r="R37" s="13"/>
      <c r="S37" s="29"/>
    </row>
    <row r="38">
      <c r="A38" s="163"/>
      <c r="B38" s="159"/>
      <c r="C38" s="151"/>
      <c r="D38" s="5"/>
      <c r="E38" s="151"/>
      <c r="F38" s="5"/>
      <c r="G38" s="151"/>
      <c r="H38" s="5"/>
      <c r="I38" s="151"/>
      <c r="J38" s="5"/>
      <c r="K38" s="6"/>
      <c r="L38" s="90">
        <f t="shared" si="9"/>
        <v>0</v>
      </c>
      <c r="M38" s="90">
        <v>0.0</v>
      </c>
      <c r="N38" s="89">
        <v>0.0</v>
      </c>
      <c r="O38" s="97"/>
      <c r="P38" s="13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5">
        <f>SUM(M8:M38)</f>
        <v>1.122916667</v>
      </c>
      <c r="N39" s="106">
        <v>0.15763888888888888</v>
      </c>
      <c r="O39" s="29"/>
      <c r="P39" s="13"/>
      <c r="Q39" s="13"/>
      <c r="R39" s="13"/>
      <c r="S39" s="13"/>
    </row>
    <row r="40">
      <c r="A40" s="107" t="s">
        <v>147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07" t="s">
        <v>125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35"/>
      <c r="N41" s="13"/>
      <c r="O41" s="35"/>
      <c r="P41" s="29"/>
      <c r="Q41" s="13"/>
      <c r="R41" s="13"/>
      <c r="S41" s="13"/>
    </row>
    <row r="42">
      <c r="A42" s="132" t="s">
        <v>148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L43" s="13"/>
      <c r="M43" s="29"/>
      <c r="N43" s="13"/>
      <c r="O43" s="13"/>
      <c r="P43" s="13"/>
      <c r="Q43" s="13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  <c r="M45" s="41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</sheetData>
  <mergeCells count="143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E26:F26"/>
    <mergeCell ref="C27:J27"/>
    <mergeCell ref="C26:D26"/>
    <mergeCell ref="C28:D28"/>
    <mergeCell ref="E28:F28"/>
    <mergeCell ref="G28:H28"/>
    <mergeCell ref="I28:J28"/>
    <mergeCell ref="C29:D29"/>
    <mergeCell ref="E29:F29"/>
    <mergeCell ref="E31:F31"/>
    <mergeCell ref="G31:H31"/>
    <mergeCell ref="G29:H29"/>
    <mergeCell ref="I29:J29"/>
    <mergeCell ref="C30:D30"/>
    <mergeCell ref="E30:F30"/>
    <mergeCell ref="G30:H30"/>
    <mergeCell ref="I30:J30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C21:D21"/>
    <mergeCell ref="E21:F21"/>
    <mergeCell ref="G21:H21"/>
    <mergeCell ref="E24:F24"/>
    <mergeCell ref="G24:H24"/>
    <mergeCell ref="I21:J21"/>
    <mergeCell ref="C22:J22"/>
    <mergeCell ref="C23:D23"/>
    <mergeCell ref="E23:F23"/>
    <mergeCell ref="G23:H23"/>
    <mergeCell ref="I23:J23"/>
    <mergeCell ref="I24:J24"/>
    <mergeCell ref="G26:H26"/>
    <mergeCell ref="I26:J26"/>
    <mergeCell ref="G37:H37"/>
    <mergeCell ref="I37:J37"/>
    <mergeCell ref="C38:D38"/>
    <mergeCell ref="E38:F38"/>
    <mergeCell ref="G38:H38"/>
    <mergeCell ref="I38:J3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23" t="s">
        <v>149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Y7" s="13"/>
      <c r="Z7" s="13"/>
      <c r="AA7" s="13"/>
    </row>
    <row r="8">
      <c r="A8" s="148">
        <v>1.0</v>
      </c>
      <c r="B8" s="155" t="s">
        <v>21</v>
      </c>
      <c r="C8" s="150">
        <v>0.3284722222222222</v>
      </c>
      <c r="D8" s="5"/>
      <c r="E8" s="150"/>
      <c r="F8" s="5"/>
      <c r="G8" s="150"/>
      <c r="H8" s="5"/>
      <c r="I8" s="150">
        <v>0.5006944444444444</v>
      </c>
      <c r="J8" s="5"/>
      <c r="K8" s="6"/>
      <c r="L8" s="90">
        <f t="shared" ref="L8:L21" si="1">(E8-C8)+(I8-G8)</f>
        <v>0.1722222222</v>
      </c>
      <c r="M8" s="90">
        <v>0.005555555555555556</v>
      </c>
      <c r="N8" s="89">
        <v>0.0</v>
      </c>
      <c r="T8" s="29"/>
      <c r="U8" s="29">
        <v>30.0</v>
      </c>
      <c r="V8" s="13"/>
      <c r="W8" s="13"/>
      <c r="X8" s="13"/>
      <c r="Y8" s="13"/>
      <c r="Z8" s="13"/>
      <c r="AA8" s="13"/>
    </row>
    <row r="9">
      <c r="A9" s="149">
        <v>2.0</v>
      </c>
      <c r="B9" s="155" t="s">
        <v>23</v>
      </c>
      <c r="C9" s="150"/>
      <c r="D9" s="5"/>
      <c r="E9" s="150"/>
      <c r="F9" s="5"/>
      <c r="G9" s="150"/>
      <c r="H9" s="5"/>
      <c r="I9" s="150"/>
      <c r="J9" s="5"/>
      <c r="K9" s="6"/>
      <c r="L9" s="90">
        <f t="shared" si="1"/>
        <v>0</v>
      </c>
      <c r="M9" s="91">
        <f t="shared" ref="M9:M18" si="2">IF((L9-$M$3)&gt;$M$4,L9-$M$3,0)</f>
        <v>0</v>
      </c>
      <c r="N9" s="89">
        <v>0.0</v>
      </c>
      <c r="T9" s="29"/>
      <c r="U9" s="29">
        <v>30.0</v>
      </c>
      <c r="V9" s="13"/>
      <c r="W9" s="13"/>
      <c r="X9" s="13"/>
      <c r="Y9" s="13"/>
      <c r="Z9" s="13"/>
      <c r="AA9" s="29"/>
    </row>
    <row r="10">
      <c r="A10" s="149">
        <v>3.0</v>
      </c>
      <c r="B10" s="158" t="s">
        <v>24</v>
      </c>
      <c r="C10" s="150">
        <v>0.35138888888888886</v>
      </c>
      <c r="D10" s="5"/>
      <c r="E10" s="150">
        <v>0.5090277777777777</v>
      </c>
      <c r="F10" s="5"/>
      <c r="G10" s="150">
        <v>0.5583333333333333</v>
      </c>
      <c r="H10" s="5"/>
      <c r="I10" s="150">
        <v>0.7472222222222222</v>
      </c>
      <c r="J10" s="5"/>
      <c r="K10" s="6"/>
      <c r="L10" s="90">
        <f t="shared" si="1"/>
        <v>0.3465277778</v>
      </c>
      <c r="M10" s="92">
        <f t="shared" si="2"/>
        <v>0.01319444444</v>
      </c>
      <c r="N10" s="91">
        <f t="shared" ref="N10:N14" si="3">+IF(($M$3-L10)&gt;$M$4,$M$3-L10,0)</f>
        <v>0</v>
      </c>
      <c r="T10" s="29"/>
      <c r="U10" s="29">
        <v>30.0</v>
      </c>
      <c r="V10" s="13"/>
      <c r="W10" s="13"/>
      <c r="X10" s="13"/>
      <c r="Y10" s="13"/>
      <c r="Z10" s="13"/>
      <c r="AA10" s="13"/>
    </row>
    <row r="11">
      <c r="A11" s="149">
        <v>4.0</v>
      </c>
      <c r="B11" s="159" t="s">
        <v>58</v>
      </c>
      <c r="C11" s="150">
        <v>0.3548611111111111</v>
      </c>
      <c r="D11" s="5"/>
      <c r="E11" s="150">
        <v>0.5020833333333333</v>
      </c>
      <c r="F11" s="5"/>
      <c r="G11" s="150">
        <v>0.5451388888888888</v>
      </c>
      <c r="H11" s="5"/>
      <c r="I11" s="150">
        <v>0.7513888888888889</v>
      </c>
      <c r="J11" s="5"/>
      <c r="K11" s="6"/>
      <c r="L11" s="90">
        <f t="shared" si="1"/>
        <v>0.3534722222</v>
      </c>
      <c r="M11" s="92">
        <f t="shared" si="2"/>
        <v>0.02013888889</v>
      </c>
      <c r="N11" s="91">
        <f t="shared" si="3"/>
        <v>0</v>
      </c>
      <c r="T11" s="29"/>
      <c r="U11" s="29"/>
      <c r="V11" s="13"/>
      <c r="W11" s="13"/>
      <c r="X11" s="13"/>
      <c r="Y11" s="13"/>
      <c r="Z11" s="13"/>
      <c r="AA11" s="13"/>
    </row>
    <row r="12">
      <c r="A12" s="149">
        <v>5.0</v>
      </c>
      <c r="B12" s="155" t="s">
        <v>18</v>
      </c>
      <c r="C12" s="150">
        <v>0.3527777777777778</v>
      </c>
      <c r="D12" s="5"/>
      <c r="E12" s="150">
        <v>0.5006944444444444</v>
      </c>
      <c r="F12" s="5"/>
      <c r="G12" s="150">
        <v>0.5472222222222223</v>
      </c>
      <c r="H12" s="5"/>
      <c r="I12" s="150">
        <v>0.7465277777777778</v>
      </c>
      <c r="J12" s="5"/>
      <c r="K12" s="6"/>
      <c r="L12" s="90">
        <f t="shared" si="1"/>
        <v>0.3472222222</v>
      </c>
      <c r="M12" s="92">
        <f t="shared" si="2"/>
        <v>0.01388888889</v>
      </c>
      <c r="N12" s="91">
        <f t="shared" si="3"/>
        <v>0</v>
      </c>
      <c r="T12" s="29"/>
      <c r="U12" s="29"/>
      <c r="V12" s="13"/>
      <c r="W12" s="13"/>
      <c r="X12" s="13"/>
      <c r="Y12" s="13"/>
      <c r="Z12" s="13"/>
      <c r="AA12" s="13"/>
    </row>
    <row r="13">
      <c r="A13" s="149">
        <v>6.0</v>
      </c>
      <c r="B13" s="158" t="s">
        <v>19</v>
      </c>
      <c r="C13" s="150">
        <v>0.35555555555555557</v>
      </c>
      <c r="D13" s="5"/>
      <c r="E13" s="150">
        <v>0.5020833333333333</v>
      </c>
      <c r="F13" s="5"/>
      <c r="G13" s="150">
        <v>0.5513888888888889</v>
      </c>
      <c r="H13" s="5"/>
      <c r="I13" s="150">
        <v>0.75</v>
      </c>
      <c r="J13" s="5"/>
      <c r="K13" s="6"/>
      <c r="L13" s="90">
        <f t="shared" si="1"/>
        <v>0.3451388889</v>
      </c>
      <c r="M13" s="92">
        <f t="shared" si="2"/>
        <v>0.01180555556</v>
      </c>
      <c r="N13" s="91">
        <f t="shared" si="3"/>
        <v>0</v>
      </c>
      <c r="T13" s="29"/>
      <c r="U13" s="29">
        <v>30.0</v>
      </c>
      <c r="V13" s="29"/>
      <c r="W13" s="37"/>
      <c r="X13" s="35"/>
      <c r="Y13" s="13"/>
      <c r="Z13" s="13"/>
      <c r="AA13" s="13"/>
    </row>
    <row r="14">
      <c r="A14" s="149">
        <v>7.0</v>
      </c>
      <c r="B14" s="159" t="s">
        <v>20</v>
      </c>
      <c r="C14" s="150">
        <v>0.3541666666666667</v>
      </c>
      <c r="D14" s="5"/>
      <c r="E14" s="150">
        <v>0.5013888888888889</v>
      </c>
      <c r="F14" s="5"/>
      <c r="G14" s="150">
        <v>0.5458333333333333</v>
      </c>
      <c r="H14" s="5"/>
      <c r="I14" s="150">
        <v>0.7576388888888889</v>
      </c>
      <c r="J14" s="5"/>
      <c r="K14" s="6"/>
      <c r="L14" s="90">
        <f t="shared" si="1"/>
        <v>0.3590277778</v>
      </c>
      <c r="M14" s="92">
        <f t="shared" si="2"/>
        <v>0.02569444444</v>
      </c>
      <c r="N14" s="91">
        <f t="shared" si="3"/>
        <v>0</v>
      </c>
      <c r="T14" s="29"/>
      <c r="U14" s="29">
        <v>30.0</v>
      </c>
      <c r="V14" s="93" t="s">
        <v>27</v>
      </c>
      <c r="W14" s="94">
        <v>0.11180555555555556</v>
      </c>
      <c r="X14" s="160" t="s">
        <v>101</v>
      </c>
      <c r="Y14" s="13"/>
      <c r="Z14" s="13"/>
      <c r="AA14" s="13"/>
    </row>
    <row r="15">
      <c r="A15" s="149">
        <v>8.0</v>
      </c>
      <c r="B15" s="159" t="s">
        <v>21</v>
      </c>
      <c r="C15" s="150">
        <v>0.3388888888888889</v>
      </c>
      <c r="D15" s="5"/>
      <c r="E15" s="150"/>
      <c r="F15" s="5"/>
      <c r="G15" s="150"/>
      <c r="H15" s="5"/>
      <c r="I15" s="150">
        <v>0.4965277777777778</v>
      </c>
      <c r="J15" s="5"/>
      <c r="K15" s="6"/>
      <c r="L15" s="90">
        <f t="shared" si="1"/>
        <v>0.1576388889</v>
      </c>
      <c r="M15" s="91">
        <f t="shared" si="2"/>
        <v>0</v>
      </c>
      <c r="N15" s="90">
        <v>0.009027777777777777</v>
      </c>
      <c r="T15" s="29"/>
      <c r="U15" s="29">
        <v>30.0</v>
      </c>
      <c r="V15" s="29"/>
      <c r="W15" s="37"/>
      <c r="X15" s="35"/>
      <c r="Y15" s="13"/>
      <c r="Z15" s="13"/>
      <c r="AA15" s="13"/>
    </row>
    <row r="16">
      <c r="A16" s="149">
        <v>9.0</v>
      </c>
      <c r="B16" s="155" t="s">
        <v>23</v>
      </c>
      <c r="C16" s="150"/>
      <c r="D16" s="5"/>
      <c r="E16" s="150"/>
      <c r="F16" s="5"/>
      <c r="G16" s="150"/>
      <c r="H16" s="5"/>
      <c r="I16" s="150"/>
      <c r="J16" s="5"/>
      <c r="K16" s="6"/>
      <c r="L16" s="90">
        <f t="shared" si="1"/>
        <v>0</v>
      </c>
      <c r="M16" s="91">
        <f t="shared" si="2"/>
        <v>0</v>
      </c>
      <c r="N16" s="89">
        <v>0.0</v>
      </c>
      <c r="T16" s="29"/>
      <c r="U16" s="142">
        <v>30.0</v>
      </c>
      <c r="V16" s="13"/>
      <c r="W16" s="13"/>
      <c r="X16" s="13"/>
      <c r="Y16" s="13"/>
      <c r="Z16" s="13"/>
      <c r="AA16" s="13"/>
    </row>
    <row r="17">
      <c r="A17" s="149">
        <v>10.0</v>
      </c>
      <c r="B17" s="158" t="s">
        <v>24</v>
      </c>
      <c r="C17" s="150">
        <v>0.35208333333333336</v>
      </c>
      <c r="D17" s="5"/>
      <c r="E17" s="150">
        <v>0.5020833333333333</v>
      </c>
      <c r="F17" s="5"/>
      <c r="G17" s="150">
        <v>0.5458333333333333</v>
      </c>
      <c r="H17" s="5"/>
      <c r="I17" s="150">
        <v>0.7541666666666667</v>
      </c>
      <c r="J17" s="5"/>
      <c r="K17" s="6"/>
      <c r="L17" s="90">
        <f t="shared" si="1"/>
        <v>0.3583333333</v>
      </c>
      <c r="M17" s="92">
        <f t="shared" si="2"/>
        <v>0.025</v>
      </c>
      <c r="N17" s="91">
        <f t="shared" ref="N17:N20" si="4">+IF(($M$3-L17)&gt;$M$4,$M$3-L17,0)</f>
        <v>0</v>
      </c>
      <c r="P17" s="35"/>
      <c r="T17" s="29"/>
      <c r="U17" s="142">
        <v>30.0</v>
      </c>
      <c r="V17" s="13"/>
      <c r="W17" s="13"/>
      <c r="X17" s="13"/>
      <c r="Y17" s="13"/>
      <c r="Z17" s="13"/>
      <c r="AA17" s="13"/>
    </row>
    <row r="18">
      <c r="A18" s="149">
        <v>11.0</v>
      </c>
      <c r="B18" s="159" t="s">
        <v>25</v>
      </c>
      <c r="C18" s="150">
        <v>0.35694444444444445</v>
      </c>
      <c r="D18" s="5"/>
      <c r="E18" s="150">
        <v>0.5013888888888889</v>
      </c>
      <c r="F18" s="5"/>
      <c r="G18" s="150">
        <v>0.5416666666666666</v>
      </c>
      <c r="H18" s="5"/>
      <c r="I18" s="150">
        <v>0.7520833333333333</v>
      </c>
      <c r="J18" s="5"/>
      <c r="K18" s="6"/>
      <c r="L18" s="90">
        <f t="shared" si="1"/>
        <v>0.3548611111</v>
      </c>
      <c r="M18" s="92">
        <f t="shared" si="2"/>
        <v>0.02152777778</v>
      </c>
      <c r="N18" s="91">
        <f t="shared" si="4"/>
        <v>0</v>
      </c>
      <c r="T18" s="29"/>
      <c r="U18" s="29"/>
      <c r="V18" s="29"/>
      <c r="W18" s="37"/>
      <c r="X18" s="35"/>
      <c r="Y18" s="13"/>
      <c r="Z18" s="13"/>
      <c r="AA18" s="29"/>
    </row>
    <row r="19">
      <c r="A19" s="149">
        <v>12.0</v>
      </c>
      <c r="B19" s="155" t="s">
        <v>18</v>
      </c>
      <c r="C19" s="150">
        <v>0.3541666666666667</v>
      </c>
      <c r="D19" s="5"/>
      <c r="E19" s="150">
        <v>0.5041666666666667</v>
      </c>
      <c r="F19" s="5"/>
      <c r="G19" s="150">
        <v>0.5548611111111111</v>
      </c>
      <c r="H19" s="5"/>
      <c r="I19" s="150">
        <v>0.7451388888888889</v>
      </c>
      <c r="J19" s="5"/>
      <c r="K19" s="6"/>
      <c r="L19" s="90">
        <f t="shared" si="1"/>
        <v>0.3402777778</v>
      </c>
      <c r="M19" s="90">
        <v>0.006944444444444444</v>
      </c>
      <c r="N19" s="91">
        <f t="shared" si="4"/>
        <v>0</v>
      </c>
      <c r="T19" s="29"/>
      <c r="U19" s="29"/>
      <c r="V19" s="29"/>
      <c r="W19" s="37"/>
      <c r="X19" s="35"/>
      <c r="Y19" s="13"/>
      <c r="Z19" s="13"/>
      <c r="AA19" s="13"/>
    </row>
    <row r="20">
      <c r="A20" s="149">
        <v>13.0</v>
      </c>
      <c r="B20" s="158" t="s">
        <v>19</v>
      </c>
      <c r="C20" s="150">
        <v>0.35138888888888886</v>
      </c>
      <c r="D20" s="5"/>
      <c r="E20" s="150">
        <v>0.5013888888888889</v>
      </c>
      <c r="F20" s="5"/>
      <c r="G20" s="150">
        <v>0.5479166666666667</v>
      </c>
      <c r="H20" s="5"/>
      <c r="I20" s="150">
        <v>0.75</v>
      </c>
      <c r="J20" s="5"/>
      <c r="K20" s="6"/>
      <c r="L20" s="90">
        <f t="shared" si="1"/>
        <v>0.3520833333</v>
      </c>
      <c r="M20" s="92">
        <f>IF((L20-$M$3)&gt;$M$4,L20-$M$3,0)</f>
        <v>0.01875</v>
      </c>
      <c r="N20" s="91">
        <f t="shared" si="4"/>
        <v>0</v>
      </c>
      <c r="O20" s="31"/>
      <c r="T20" s="29"/>
      <c r="U20" s="29">
        <v>30.0</v>
      </c>
      <c r="V20" s="13"/>
      <c r="W20" s="13"/>
      <c r="X20" s="13"/>
      <c r="Y20" s="13"/>
      <c r="Z20" s="13"/>
      <c r="AA20" s="13"/>
    </row>
    <row r="21">
      <c r="A21" s="149">
        <v>14.0</v>
      </c>
      <c r="B21" s="159" t="s">
        <v>20</v>
      </c>
      <c r="C21" s="150">
        <v>0.36041666666666666</v>
      </c>
      <c r="D21" s="5"/>
      <c r="E21" s="150">
        <v>0.5131944444444444</v>
      </c>
      <c r="F21" s="5"/>
      <c r="G21" s="150">
        <v>0.5576388888888889</v>
      </c>
      <c r="H21" s="5"/>
      <c r="I21" s="150">
        <v>0.7444444444444445</v>
      </c>
      <c r="J21" s="5"/>
      <c r="K21" s="6"/>
      <c r="L21" s="90">
        <f t="shared" si="1"/>
        <v>0.3395833333</v>
      </c>
      <c r="M21" s="90">
        <v>0.019444444444444445</v>
      </c>
      <c r="N21" s="167">
        <v>0.00625</v>
      </c>
      <c r="T21" s="96"/>
      <c r="U21" s="29">
        <v>30.0</v>
      </c>
      <c r="V21" s="13"/>
      <c r="W21" s="13"/>
      <c r="X21" s="13"/>
      <c r="Y21" s="13"/>
      <c r="Z21" s="13"/>
      <c r="AA21" s="13"/>
    </row>
    <row r="22">
      <c r="A22" s="149">
        <v>15.0</v>
      </c>
      <c r="B22" s="159" t="s">
        <v>21</v>
      </c>
      <c r="C22" s="147" t="s">
        <v>150</v>
      </c>
      <c r="D22" s="15"/>
      <c r="E22" s="15"/>
      <c r="F22" s="15"/>
      <c r="G22" s="15"/>
      <c r="H22" s="15"/>
      <c r="I22" s="15"/>
      <c r="J22" s="5"/>
      <c r="K22" s="6"/>
      <c r="L22" s="89">
        <v>0.0</v>
      </c>
      <c r="M22" s="89">
        <v>0.0</v>
      </c>
      <c r="N22" s="89">
        <v>0.0</v>
      </c>
      <c r="T22" s="29"/>
      <c r="U22" s="29">
        <v>30.0</v>
      </c>
      <c r="V22" s="29"/>
      <c r="W22" s="31"/>
      <c r="X22" s="35"/>
      <c r="Y22" s="13"/>
      <c r="Z22" s="13"/>
      <c r="AA22" s="13"/>
    </row>
    <row r="23">
      <c r="A23" s="149">
        <v>16.0</v>
      </c>
      <c r="B23" s="158" t="s">
        <v>23</v>
      </c>
      <c r="C23" s="152"/>
      <c r="D23" s="5"/>
      <c r="E23" s="152"/>
      <c r="F23" s="5"/>
      <c r="G23" s="152"/>
      <c r="H23" s="5"/>
      <c r="I23" s="152"/>
      <c r="J23" s="5"/>
      <c r="K23" s="6"/>
      <c r="L23" s="90">
        <f t="shared" ref="L23:L26" si="5">(E23-C23)+(I23-G23)</f>
        <v>0</v>
      </c>
      <c r="M23" s="91">
        <f t="shared" ref="M23:M26" si="6">IF((L23-$M$3)&gt;$M$4,L23-$M$3,0)</f>
        <v>0</v>
      </c>
      <c r="N23" s="89">
        <v>0.0</v>
      </c>
      <c r="T23" s="29"/>
      <c r="U23" s="29">
        <v>30.0</v>
      </c>
      <c r="V23" s="93" t="s">
        <v>27</v>
      </c>
      <c r="W23" s="94">
        <v>0.25763888888888886</v>
      </c>
      <c r="X23" s="93" t="s">
        <v>102</v>
      </c>
      <c r="Y23" s="13"/>
      <c r="Z23" s="13"/>
      <c r="AA23" s="13"/>
    </row>
    <row r="24">
      <c r="A24" s="149">
        <v>17.0</v>
      </c>
      <c r="B24" s="159" t="s">
        <v>24</v>
      </c>
      <c r="C24" s="150">
        <v>0.35555555555555557</v>
      </c>
      <c r="D24" s="5"/>
      <c r="E24" s="150">
        <v>0.5104166666666666</v>
      </c>
      <c r="F24" s="5"/>
      <c r="G24" s="150">
        <v>0.5527777777777778</v>
      </c>
      <c r="H24" s="5"/>
      <c r="I24" s="150">
        <v>0.7451388888888889</v>
      </c>
      <c r="J24" s="5"/>
      <c r="K24" s="6"/>
      <c r="L24" s="90">
        <f t="shared" si="5"/>
        <v>0.3472222222</v>
      </c>
      <c r="M24" s="92">
        <f t="shared" si="6"/>
        <v>0.01388888889</v>
      </c>
      <c r="N24" s="91">
        <f t="shared" ref="N24:N26" si="7">+IF(($M$3-L24)&gt;$M$4,$M$3-L24,0)</f>
        <v>0</v>
      </c>
      <c r="T24" s="29"/>
      <c r="U24" s="29">
        <v>30.0</v>
      </c>
      <c r="V24" s="29"/>
      <c r="W24" s="37"/>
      <c r="X24" s="35"/>
      <c r="Y24" s="13"/>
      <c r="Z24" s="13"/>
      <c r="AA24" s="13"/>
    </row>
    <row r="25">
      <c r="A25" s="149">
        <v>18.0</v>
      </c>
      <c r="B25" s="159" t="s">
        <v>58</v>
      </c>
      <c r="C25" s="150">
        <v>0.36041666666666666</v>
      </c>
      <c r="D25" s="5"/>
      <c r="E25" s="150">
        <v>0.5034722222222222</v>
      </c>
      <c r="F25" s="5"/>
      <c r="G25" s="150">
        <v>0.5479166666666667</v>
      </c>
      <c r="H25" s="5"/>
      <c r="I25" s="150">
        <v>0.7506944444444444</v>
      </c>
      <c r="J25" s="5"/>
      <c r="K25" s="6"/>
      <c r="L25" s="90">
        <f t="shared" si="5"/>
        <v>0.3458333333</v>
      </c>
      <c r="M25" s="92">
        <f t="shared" si="6"/>
        <v>0.0125</v>
      </c>
      <c r="N25" s="91">
        <f t="shared" si="7"/>
        <v>0</v>
      </c>
      <c r="T25" s="29"/>
      <c r="U25" s="29"/>
      <c r="V25" s="13"/>
      <c r="W25" s="13"/>
      <c r="X25" s="13"/>
      <c r="Y25" s="13"/>
      <c r="Z25" s="13"/>
      <c r="AA25" s="13"/>
    </row>
    <row r="26">
      <c r="A26" s="149">
        <v>19.0</v>
      </c>
      <c r="B26" s="158" t="s">
        <v>18</v>
      </c>
      <c r="C26" s="150">
        <v>0.35694444444444445</v>
      </c>
      <c r="D26" s="5"/>
      <c r="E26" s="150">
        <v>0.5027777777777778</v>
      </c>
      <c r="F26" s="5"/>
      <c r="G26" s="150">
        <v>0.55</v>
      </c>
      <c r="H26" s="5"/>
      <c r="I26" s="150">
        <v>0.7513888888888889</v>
      </c>
      <c r="J26" s="5"/>
      <c r="K26" s="127"/>
      <c r="L26" s="90">
        <f t="shared" si="5"/>
        <v>0.3472222222</v>
      </c>
      <c r="M26" s="92">
        <f t="shared" si="6"/>
        <v>0.01388888889</v>
      </c>
      <c r="N26" s="91">
        <f t="shared" si="7"/>
        <v>0</v>
      </c>
      <c r="T26" s="29"/>
      <c r="U26" s="29"/>
      <c r="V26" s="96"/>
      <c r="W26" s="29"/>
      <c r="X26" s="35"/>
      <c r="Y26" s="13"/>
      <c r="Z26" s="13"/>
      <c r="AA26" s="29"/>
    </row>
    <row r="27">
      <c r="A27" s="149">
        <v>20.0</v>
      </c>
      <c r="B27" s="159" t="s">
        <v>19</v>
      </c>
      <c r="C27" s="147" t="s">
        <v>78</v>
      </c>
      <c r="D27" s="15"/>
      <c r="E27" s="15"/>
      <c r="F27" s="15"/>
      <c r="G27" s="15"/>
      <c r="H27" s="15"/>
      <c r="I27" s="15"/>
      <c r="J27" s="5"/>
      <c r="K27" s="6"/>
      <c r="L27" s="89">
        <v>0.0</v>
      </c>
      <c r="M27" s="89">
        <v>0.0</v>
      </c>
      <c r="N27" s="90">
        <v>0.0</v>
      </c>
      <c r="T27" s="29"/>
      <c r="U27" s="29">
        <v>30.0</v>
      </c>
      <c r="V27" s="13"/>
      <c r="W27" s="13"/>
      <c r="X27" s="13"/>
      <c r="Y27" s="13"/>
      <c r="Z27" s="13"/>
      <c r="AA27" s="13"/>
    </row>
    <row r="28">
      <c r="A28" s="149">
        <v>21.0</v>
      </c>
      <c r="B28" s="159" t="s">
        <v>20</v>
      </c>
      <c r="C28" s="150">
        <v>0.35555555555555557</v>
      </c>
      <c r="D28" s="5"/>
      <c r="E28" s="150">
        <v>0.5006944444444444</v>
      </c>
      <c r="F28" s="5"/>
      <c r="G28" s="150">
        <v>0.5486111111111112</v>
      </c>
      <c r="H28" s="5"/>
      <c r="I28" s="150">
        <v>0.7458333333333333</v>
      </c>
      <c r="J28" s="5"/>
      <c r="K28" s="6"/>
      <c r="L28" s="90">
        <f t="shared" ref="L28:L34" si="8">(E28-C28)+(I28-G28)</f>
        <v>0.3423611111</v>
      </c>
      <c r="M28" s="92">
        <f t="shared" ref="M28:M31" si="9">IF((L28-$M$3)&gt;$M$4,L28-$M$3,0)</f>
        <v>0.009027777778</v>
      </c>
      <c r="N28" s="91">
        <f>+IF(($M$3-L28)&gt;$M$4,$M$3-L28,0)</f>
        <v>0</v>
      </c>
      <c r="P28" s="98"/>
      <c r="T28" s="29"/>
      <c r="U28" s="39">
        <v>30.0</v>
      </c>
      <c r="V28" s="93" t="s">
        <v>27</v>
      </c>
      <c r="W28" s="94">
        <v>0.32013888888888886</v>
      </c>
      <c r="X28" s="93" t="s">
        <v>104</v>
      </c>
      <c r="Y28" s="13"/>
      <c r="Z28" s="13"/>
      <c r="AA28" s="29"/>
    </row>
    <row r="29">
      <c r="A29" s="149">
        <v>22.0</v>
      </c>
      <c r="B29" s="159" t="s">
        <v>21</v>
      </c>
      <c r="C29" s="150">
        <v>0.34097222222222223</v>
      </c>
      <c r="D29" s="5"/>
      <c r="E29" s="150"/>
      <c r="F29" s="5"/>
      <c r="G29" s="150"/>
      <c r="H29" s="5"/>
      <c r="I29" s="150">
        <v>0.4965277777777778</v>
      </c>
      <c r="J29" s="5"/>
      <c r="K29" s="6"/>
      <c r="L29" s="90">
        <f t="shared" si="8"/>
        <v>0.1555555556</v>
      </c>
      <c r="M29" s="91">
        <f t="shared" si="9"/>
        <v>0</v>
      </c>
      <c r="N29" s="90">
        <v>0.011111111111111112</v>
      </c>
      <c r="O29" s="13"/>
      <c r="P29" s="13"/>
      <c r="Q29" s="13"/>
      <c r="R29" s="13"/>
      <c r="T29" s="29"/>
      <c r="U29" s="39"/>
      <c r="V29" s="13"/>
      <c r="W29" s="13"/>
      <c r="X29" s="13"/>
      <c r="Y29" s="13"/>
      <c r="Z29" s="13"/>
      <c r="AA29" s="13"/>
    </row>
    <row r="30">
      <c r="A30" s="149">
        <v>23.0</v>
      </c>
      <c r="B30" s="158" t="s">
        <v>23</v>
      </c>
      <c r="C30" s="151"/>
      <c r="D30" s="5"/>
      <c r="E30" s="151"/>
      <c r="F30" s="5"/>
      <c r="G30" s="151"/>
      <c r="H30" s="5"/>
      <c r="I30" s="151"/>
      <c r="J30" s="5"/>
      <c r="K30" s="6"/>
      <c r="L30" s="90">
        <f t="shared" si="8"/>
        <v>0</v>
      </c>
      <c r="M30" s="91">
        <f t="shared" si="9"/>
        <v>0</v>
      </c>
      <c r="N30" s="89">
        <v>0.0</v>
      </c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149">
        <v>24.0</v>
      </c>
      <c r="B31" s="159" t="s">
        <v>24</v>
      </c>
      <c r="C31" s="151">
        <v>0.3576388888888889</v>
      </c>
      <c r="D31" s="5"/>
      <c r="E31" s="151">
        <v>0.5041666666666667</v>
      </c>
      <c r="F31" s="5"/>
      <c r="G31" s="151">
        <v>0.5458333333333333</v>
      </c>
      <c r="H31" s="5"/>
      <c r="I31" s="151">
        <v>0.7513888888888889</v>
      </c>
      <c r="J31" s="5"/>
      <c r="K31" s="6"/>
      <c r="L31" s="90">
        <f t="shared" si="8"/>
        <v>0.3520833333</v>
      </c>
      <c r="M31" s="92">
        <f t="shared" si="9"/>
        <v>0.01875</v>
      </c>
      <c r="N31" s="91">
        <f t="shared" ref="N31:N34" si="10">+IF(($M$3-L31)&gt;$M$4,$M$3-L31,0)</f>
        <v>0</v>
      </c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149">
        <v>25.0</v>
      </c>
      <c r="B32" s="159" t="s">
        <v>58</v>
      </c>
      <c r="C32" s="151">
        <v>0.3625</v>
      </c>
      <c r="D32" s="5"/>
      <c r="E32" s="151">
        <v>0.5020833333333333</v>
      </c>
      <c r="F32" s="5"/>
      <c r="G32" s="151">
        <v>0.5527777777777778</v>
      </c>
      <c r="H32" s="5"/>
      <c r="I32" s="151">
        <v>0.7520833333333333</v>
      </c>
      <c r="J32" s="5"/>
      <c r="K32" s="6"/>
      <c r="L32" s="90">
        <f t="shared" si="8"/>
        <v>0.3388888889</v>
      </c>
      <c r="M32" s="90">
        <v>0.005555555555555556</v>
      </c>
      <c r="N32" s="91">
        <f t="shared" si="10"/>
        <v>0</v>
      </c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149">
        <v>26.0</v>
      </c>
      <c r="B33" s="159" t="s">
        <v>18</v>
      </c>
      <c r="C33" s="150">
        <v>0.3576388888888889</v>
      </c>
      <c r="D33" s="5"/>
      <c r="E33" s="150">
        <v>0.5034722222222222</v>
      </c>
      <c r="F33" s="5"/>
      <c r="G33" s="150">
        <v>0.5444444444444444</v>
      </c>
      <c r="H33" s="5"/>
      <c r="I33" s="150">
        <v>0.75</v>
      </c>
      <c r="J33" s="5"/>
      <c r="K33" s="6"/>
      <c r="L33" s="90">
        <f t="shared" si="8"/>
        <v>0.3513888889</v>
      </c>
      <c r="M33" s="92">
        <f t="shared" ref="M33:M34" si="11">IF((L33-$M$3)&gt;$M$4,L33-$M$3,0)</f>
        <v>0.01805555556</v>
      </c>
      <c r="N33" s="91">
        <f t="shared" si="10"/>
        <v>0</v>
      </c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149">
        <v>27.0</v>
      </c>
      <c r="B34" s="159" t="s">
        <v>26</v>
      </c>
      <c r="C34" s="150">
        <v>0.36180555555555555</v>
      </c>
      <c r="D34" s="5"/>
      <c r="E34" s="150">
        <v>0.5048611111111111</v>
      </c>
      <c r="F34" s="5"/>
      <c r="G34" s="150">
        <v>0.5479166666666667</v>
      </c>
      <c r="H34" s="5"/>
      <c r="I34" s="150">
        <v>0.7555555555555555</v>
      </c>
      <c r="J34" s="5"/>
      <c r="K34" s="6"/>
      <c r="L34" s="90">
        <f t="shared" si="8"/>
        <v>0.3506944444</v>
      </c>
      <c r="M34" s="92">
        <f t="shared" si="11"/>
        <v>0.01736111111</v>
      </c>
      <c r="N34" s="91">
        <f t="shared" si="10"/>
        <v>0</v>
      </c>
      <c r="O34" s="183" t="s">
        <v>82</v>
      </c>
      <c r="P34" s="35"/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149">
        <v>28.0</v>
      </c>
      <c r="B35" s="159" t="s">
        <v>20</v>
      </c>
      <c r="C35" s="147" t="s">
        <v>62</v>
      </c>
      <c r="D35" s="15"/>
      <c r="E35" s="15"/>
      <c r="F35" s="15"/>
      <c r="G35" s="15"/>
      <c r="H35" s="15"/>
      <c r="I35" s="15"/>
      <c r="J35" s="5"/>
      <c r="L35" s="167">
        <v>0.35208333333333336</v>
      </c>
      <c r="M35" s="130">
        <v>0.0</v>
      </c>
      <c r="N35" s="131"/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149">
        <v>29.0</v>
      </c>
      <c r="B36" s="159" t="s">
        <v>21</v>
      </c>
      <c r="C36" s="181" t="s">
        <v>62</v>
      </c>
      <c r="D36" s="15"/>
      <c r="E36" s="15"/>
      <c r="F36" s="15"/>
      <c r="G36" s="15"/>
      <c r="H36" s="15"/>
      <c r="I36" s="15"/>
      <c r="J36" s="5"/>
      <c r="K36" s="6"/>
      <c r="L36" s="167">
        <v>0.3458333333333333</v>
      </c>
      <c r="M36" s="130">
        <v>0.0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163">
        <v>30.0</v>
      </c>
      <c r="B37" s="159" t="s">
        <v>23</v>
      </c>
      <c r="C37" s="151"/>
      <c r="D37" s="5"/>
      <c r="E37" s="151"/>
      <c r="F37" s="5"/>
      <c r="G37" s="151"/>
      <c r="H37" s="5"/>
      <c r="I37" s="151"/>
      <c r="J37" s="5"/>
      <c r="K37" s="6"/>
      <c r="L37" s="167">
        <v>0.3472222222222222</v>
      </c>
      <c r="M37" s="130">
        <v>0.0</v>
      </c>
      <c r="N37" s="131"/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K38" s="6"/>
      <c r="L38" s="104"/>
      <c r="M38" s="105">
        <f>SUM(M8:M37)</f>
        <v>0.2909722222</v>
      </c>
      <c r="N38" s="184">
        <v>0.02638888888888889</v>
      </c>
      <c r="O38" s="29"/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P39" s="13"/>
      <c r="Q39" s="13"/>
      <c r="R39" s="13"/>
    </row>
    <row r="40">
      <c r="A40" s="107" t="s">
        <v>151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M40" s="35"/>
    </row>
    <row r="41">
      <c r="A41" s="107" t="s">
        <v>152</v>
      </c>
      <c r="B41" s="15"/>
      <c r="C41" s="15"/>
      <c r="D41" s="15"/>
      <c r="E41" s="15"/>
      <c r="F41" s="15"/>
      <c r="G41" s="15"/>
      <c r="H41" s="15"/>
      <c r="I41" s="15"/>
      <c r="J41" s="5"/>
      <c r="K41" s="6"/>
    </row>
    <row r="42">
      <c r="A42" s="132" t="s">
        <v>153</v>
      </c>
      <c r="B42" s="3"/>
      <c r="C42" s="3"/>
      <c r="D42" s="3"/>
      <c r="E42" s="3"/>
      <c r="F42" s="3"/>
      <c r="G42" s="3"/>
      <c r="H42" s="3"/>
      <c r="I42" s="3"/>
      <c r="J42" s="2"/>
      <c r="K42" s="6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  <row r="50">
      <c r="L50" s="141"/>
    </row>
  </sheetData>
  <mergeCells count="133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E26:F26"/>
    <mergeCell ref="C27:J27"/>
    <mergeCell ref="C26:D26"/>
    <mergeCell ref="C28:D28"/>
    <mergeCell ref="E28:F28"/>
    <mergeCell ref="G28:H28"/>
    <mergeCell ref="I28:J28"/>
    <mergeCell ref="C29:D29"/>
    <mergeCell ref="E29:F29"/>
    <mergeCell ref="E31:F31"/>
    <mergeCell ref="G31:H31"/>
    <mergeCell ref="G29:H29"/>
    <mergeCell ref="I29:J29"/>
    <mergeCell ref="C30:D30"/>
    <mergeCell ref="E30:F30"/>
    <mergeCell ref="G30:H30"/>
    <mergeCell ref="I30:J30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C35:J35"/>
    <mergeCell ref="C36:J36"/>
    <mergeCell ref="C37:D37"/>
    <mergeCell ref="I37:J37"/>
    <mergeCell ref="E37:F37"/>
    <mergeCell ref="G37:H37"/>
    <mergeCell ref="A39:J39"/>
    <mergeCell ref="A40:J40"/>
    <mergeCell ref="A41:J41"/>
    <mergeCell ref="A42:J42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C21:D21"/>
    <mergeCell ref="E21:F21"/>
    <mergeCell ref="G21:H21"/>
    <mergeCell ref="E24:F24"/>
    <mergeCell ref="G24:H24"/>
    <mergeCell ref="I21:J21"/>
    <mergeCell ref="C22:J22"/>
    <mergeCell ref="C23:D23"/>
    <mergeCell ref="E23:F23"/>
    <mergeCell ref="G23:H23"/>
    <mergeCell ref="I23:J23"/>
    <mergeCell ref="I24:J24"/>
    <mergeCell ref="G26:H26"/>
    <mergeCell ref="I26:J26"/>
    <mergeCell ref="D44:E44"/>
    <mergeCell ref="F44:G44"/>
    <mergeCell ref="D45:E45"/>
    <mergeCell ref="F45:G45"/>
    <mergeCell ref="D46:E46"/>
    <mergeCell ref="F46:G46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135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140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5" t="s">
        <v>21</v>
      </c>
      <c r="C8" s="151">
        <v>0.3284722222222222</v>
      </c>
      <c r="D8" s="5"/>
      <c r="E8" s="151"/>
      <c r="F8" s="5"/>
      <c r="G8" s="151"/>
      <c r="H8" s="5"/>
      <c r="I8" s="151">
        <v>0.5006944444444444</v>
      </c>
      <c r="J8" s="5"/>
      <c r="K8" s="12"/>
      <c r="L8" s="29">
        <v>8.0</v>
      </c>
      <c r="M8" s="13"/>
      <c r="N8" s="13"/>
      <c r="O8" s="13"/>
      <c r="P8" s="13"/>
      <c r="Q8" s="13"/>
      <c r="R8" s="13"/>
      <c r="S8" s="13"/>
    </row>
    <row r="9">
      <c r="A9" s="149">
        <v>2.0</v>
      </c>
      <c r="B9" s="155" t="s">
        <v>23</v>
      </c>
      <c r="C9" s="151"/>
      <c r="D9" s="5"/>
      <c r="E9" s="151"/>
      <c r="F9" s="5"/>
      <c r="G9" s="151"/>
      <c r="H9" s="5"/>
      <c r="I9" s="151"/>
      <c r="J9" s="5"/>
      <c r="K9" s="12"/>
      <c r="L9" s="29"/>
      <c r="M9" s="29"/>
      <c r="N9" s="13"/>
      <c r="O9" s="13"/>
      <c r="P9" s="13"/>
      <c r="Q9" s="13"/>
      <c r="R9" s="13"/>
      <c r="S9" s="13"/>
    </row>
    <row r="10">
      <c r="A10" s="149">
        <v>3.0</v>
      </c>
      <c r="B10" s="158" t="s">
        <v>24</v>
      </c>
      <c r="C10" s="150">
        <v>0.3451388888888889</v>
      </c>
      <c r="D10" s="5"/>
      <c r="E10" s="150">
        <v>0.5652777777777778</v>
      </c>
      <c r="F10" s="5"/>
      <c r="G10" s="150">
        <v>0.6118055555555556</v>
      </c>
      <c r="H10" s="5"/>
      <c r="I10" s="150">
        <v>0.7472222222222222</v>
      </c>
      <c r="J10" s="5"/>
      <c r="K10" s="12"/>
      <c r="L10" s="29">
        <v>7.0</v>
      </c>
      <c r="M10" s="13"/>
      <c r="N10" s="13"/>
      <c r="O10" s="13"/>
      <c r="P10" s="13"/>
      <c r="Q10" s="13"/>
      <c r="R10" s="13"/>
      <c r="S10" s="13"/>
    </row>
    <row r="11">
      <c r="A11" s="149">
        <v>4.0</v>
      </c>
      <c r="B11" s="159" t="s">
        <v>58</v>
      </c>
      <c r="C11" s="150">
        <v>0.34652777777777777</v>
      </c>
      <c r="D11" s="5"/>
      <c r="E11" s="150">
        <v>0.5465277777777777</v>
      </c>
      <c r="F11" s="5"/>
      <c r="G11" s="150">
        <v>0.5916666666666667</v>
      </c>
      <c r="H11" s="5"/>
      <c r="I11" s="150">
        <v>0.7513888888888889</v>
      </c>
      <c r="J11" s="5"/>
      <c r="K11" s="12"/>
      <c r="L11" s="29">
        <v>13.0</v>
      </c>
      <c r="M11" s="13"/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18</v>
      </c>
      <c r="C12" s="150">
        <v>0.3451388888888889</v>
      </c>
      <c r="D12" s="5"/>
      <c r="E12" s="150">
        <v>0.5493055555555556</v>
      </c>
      <c r="F12" s="5"/>
      <c r="G12" s="150">
        <v>0.5965277777777778</v>
      </c>
      <c r="H12" s="5"/>
      <c r="I12" s="150">
        <v>0.7465277777777778</v>
      </c>
      <c r="J12" s="5"/>
      <c r="K12" s="12"/>
      <c r="L12" s="29">
        <v>0.0</v>
      </c>
      <c r="M12" s="13"/>
      <c r="N12" s="13"/>
      <c r="O12" s="13"/>
      <c r="P12" s="13"/>
      <c r="Q12" s="13"/>
      <c r="R12" s="13"/>
      <c r="S12" s="13"/>
    </row>
    <row r="13">
      <c r="A13" s="149">
        <v>6.0</v>
      </c>
      <c r="B13" s="158" t="s">
        <v>19</v>
      </c>
      <c r="C13" s="150">
        <v>0.34791666666666665</v>
      </c>
      <c r="D13" s="5"/>
      <c r="E13" s="150">
        <v>0.5520833333333334</v>
      </c>
      <c r="F13" s="5"/>
      <c r="G13" s="150">
        <v>0.5951388888888889</v>
      </c>
      <c r="H13" s="5"/>
      <c r="I13" s="150">
        <v>0.7506944444444444</v>
      </c>
      <c r="J13" s="5"/>
      <c r="K13" s="12"/>
      <c r="L13" s="29">
        <v>8.0</v>
      </c>
      <c r="M13" s="29"/>
      <c r="N13" s="29"/>
      <c r="O13" s="29"/>
      <c r="P13" s="13"/>
      <c r="Q13" s="13"/>
      <c r="R13" s="13"/>
      <c r="S13" s="13"/>
    </row>
    <row r="14">
      <c r="A14" s="149">
        <v>7.0</v>
      </c>
      <c r="B14" s="159" t="s">
        <v>20</v>
      </c>
      <c r="C14" s="150">
        <v>0.3506944444444444</v>
      </c>
      <c r="D14" s="5"/>
      <c r="E14" s="150">
        <v>0.5548611111111111</v>
      </c>
      <c r="F14" s="5"/>
      <c r="G14" s="150">
        <v>0.6027777777777777</v>
      </c>
      <c r="H14" s="5"/>
      <c r="I14" s="150">
        <v>0.7534722222222222</v>
      </c>
      <c r="J14" s="5"/>
      <c r="K14" s="12"/>
      <c r="L14" s="29">
        <v>6.0</v>
      </c>
      <c r="M14" s="13"/>
      <c r="N14" s="29"/>
      <c r="O14" s="35"/>
      <c r="P14" s="13"/>
      <c r="Q14" s="13"/>
      <c r="R14" s="13"/>
      <c r="S14" s="29"/>
    </row>
    <row r="15">
      <c r="A15" s="149">
        <v>8.0</v>
      </c>
      <c r="B15" s="159" t="s">
        <v>21</v>
      </c>
      <c r="C15" s="150">
        <v>0.33055555555555555</v>
      </c>
      <c r="D15" s="5"/>
      <c r="E15" s="151"/>
      <c r="F15" s="5"/>
      <c r="G15" s="151"/>
      <c r="H15" s="5"/>
      <c r="I15" s="151">
        <v>0.49930555555555556</v>
      </c>
      <c r="J15" s="5"/>
      <c r="K15" s="12"/>
      <c r="L15" s="29">
        <v>0.0</v>
      </c>
      <c r="M15" s="13"/>
      <c r="N15" s="13"/>
      <c r="O15" s="35"/>
      <c r="P15" s="29"/>
      <c r="Q15" s="13"/>
      <c r="R15" s="13"/>
      <c r="S15" s="13"/>
    </row>
    <row r="16">
      <c r="A16" s="149">
        <v>9.0</v>
      </c>
      <c r="B16" s="155" t="s">
        <v>23</v>
      </c>
      <c r="C16" s="151"/>
      <c r="D16" s="5"/>
      <c r="E16" s="151"/>
      <c r="F16" s="5"/>
      <c r="G16" s="151"/>
      <c r="H16" s="5"/>
      <c r="I16" s="151"/>
      <c r="J16" s="5"/>
      <c r="K16" s="12"/>
      <c r="L16" s="29"/>
      <c r="M16" s="13"/>
      <c r="N16" s="13"/>
      <c r="O16" s="13"/>
      <c r="P16" s="13"/>
      <c r="Q16" s="13"/>
      <c r="R16" s="13"/>
      <c r="S16" s="13"/>
    </row>
    <row r="17">
      <c r="A17" s="149">
        <v>10.0</v>
      </c>
      <c r="B17" s="158" t="s">
        <v>24</v>
      </c>
      <c r="C17" s="150">
        <v>0.34930555555555554</v>
      </c>
      <c r="D17" s="5"/>
      <c r="E17" s="150">
        <v>0.5576388888888889</v>
      </c>
      <c r="F17" s="5"/>
      <c r="G17" s="150">
        <v>0.6055555555555555</v>
      </c>
      <c r="H17" s="5"/>
      <c r="I17" s="150">
        <v>0.7541666666666667</v>
      </c>
      <c r="J17" s="5"/>
      <c r="K17" s="12"/>
      <c r="L17" s="29">
        <v>9.0</v>
      </c>
      <c r="M17" s="29"/>
      <c r="N17" s="31" t="s">
        <v>27</v>
      </c>
      <c r="O17" s="35">
        <v>0.035416666666666666</v>
      </c>
      <c r="P17" s="13"/>
      <c r="Q17" s="13"/>
      <c r="R17" s="13"/>
      <c r="S17" s="13"/>
    </row>
    <row r="18">
      <c r="A18" s="149">
        <v>11.0</v>
      </c>
      <c r="B18" s="159" t="s">
        <v>25</v>
      </c>
      <c r="C18" s="150">
        <v>0.34930555555555554</v>
      </c>
      <c r="D18" s="5"/>
      <c r="E18" s="150">
        <v>0.5493055555555556</v>
      </c>
      <c r="F18" s="5"/>
      <c r="G18" s="150">
        <v>0.5958333333333333</v>
      </c>
      <c r="H18" s="5"/>
      <c r="I18" s="150">
        <v>0.7520833333333333</v>
      </c>
      <c r="J18" s="5"/>
      <c r="K18" s="12"/>
      <c r="L18" s="142">
        <v>8.0</v>
      </c>
      <c r="M18" s="13"/>
      <c r="N18" s="29"/>
      <c r="O18" s="35"/>
      <c r="P18" s="29"/>
      <c r="Q18" s="13"/>
      <c r="R18" s="13"/>
      <c r="S18" s="13"/>
    </row>
    <row r="19">
      <c r="A19" s="149">
        <v>12.0</v>
      </c>
      <c r="B19" s="155" t="s">
        <v>18</v>
      </c>
      <c r="C19" s="150">
        <v>0.35</v>
      </c>
      <c r="D19" s="5"/>
      <c r="E19" s="150">
        <v>0.55625</v>
      </c>
      <c r="F19" s="5"/>
      <c r="G19" s="150">
        <v>0.6034722222222222</v>
      </c>
      <c r="H19" s="5"/>
      <c r="I19" s="150">
        <v>0.7444444444444445</v>
      </c>
      <c r="J19" s="5"/>
      <c r="K19" s="12"/>
      <c r="L19" s="39">
        <v>0.0</v>
      </c>
      <c r="M19" s="29"/>
      <c r="N19" s="31"/>
      <c r="O19" s="35"/>
      <c r="P19" s="13"/>
      <c r="Q19" s="13"/>
      <c r="R19" s="13"/>
      <c r="S19" s="13"/>
    </row>
    <row r="20">
      <c r="A20" s="149">
        <v>13.0</v>
      </c>
      <c r="B20" s="158" t="s">
        <v>19</v>
      </c>
      <c r="C20" s="150">
        <v>0.3486111111111111</v>
      </c>
      <c r="D20" s="5"/>
      <c r="E20" s="150">
        <v>0.5513888888888889</v>
      </c>
      <c r="F20" s="5"/>
      <c r="G20" s="150">
        <v>0.5965277777777778</v>
      </c>
      <c r="H20" s="5"/>
      <c r="I20" s="150">
        <v>0.75</v>
      </c>
      <c r="J20" s="5"/>
      <c r="K20" s="12"/>
      <c r="L20" s="29">
        <v>8.0</v>
      </c>
      <c r="M20" s="13"/>
      <c r="N20" s="31" t="s">
        <v>27</v>
      </c>
      <c r="O20" s="35">
        <v>0.04652777777777778</v>
      </c>
      <c r="P20" s="29" t="s">
        <v>154</v>
      </c>
      <c r="Q20" s="13"/>
      <c r="R20" s="13"/>
      <c r="S20" s="29"/>
    </row>
    <row r="21">
      <c r="A21" s="149">
        <v>14.0</v>
      </c>
      <c r="B21" s="159" t="s">
        <v>20</v>
      </c>
      <c r="C21" s="150">
        <v>0.3486111111111111</v>
      </c>
      <c r="D21" s="5"/>
      <c r="E21" s="150">
        <v>0.5576388888888889</v>
      </c>
      <c r="F21" s="5"/>
      <c r="G21" s="150">
        <v>0.6034722222222222</v>
      </c>
      <c r="H21" s="5"/>
      <c r="I21" s="150">
        <v>0.7444444444444445</v>
      </c>
      <c r="J21" s="5"/>
      <c r="K21" s="12"/>
      <c r="L21" s="29">
        <v>0.0</v>
      </c>
      <c r="M21" s="13"/>
      <c r="N21" s="29"/>
      <c r="O21" s="35"/>
      <c r="P21" s="13"/>
      <c r="Q21" s="13"/>
      <c r="R21" s="13"/>
      <c r="S21" s="29"/>
    </row>
    <row r="22">
      <c r="A22" s="149">
        <v>15.0</v>
      </c>
      <c r="B22" s="159" t="s">
        <v>21</v>
      </c>
      <c r="C22" s="147" t="s">
        <v>78</v>
      </c>
      <c r="D22" s="15"/>
      <c r="E22" s="15"/>
      <c r="F22" s="15"/>
      <c r="G22" s="15"/>
      <c r="H22" s="15"/>
      <c r="I22" s="15"/>
      <c r="J22" s="5"/>
      <c r="K22" s="12"/>
      <c r="L22" s="29"/>
      <c r="M22" s="29"/>
      <c r="N22" s="31"/>
      <c r="O22" s="29"/>
      <c r="P22" s="13"/>
      <c r="Q22" s="13"/>
      <c r="R22" s="13"/>
      <c r="S22" s="13"/>
    </row>
    <row r="23">
      <c r="A23" s="149">
        <v>16.0</v>
      </c>
      <c r="B23" s="158" t="s">
        <v>23</v>
      </c>
      <c r="C23" s="150"/>
      <c r="D23" s="5"/>
      <c r="E23" s="150"/>
      <c r="F23" s="5"/>
      <c r="G23" s="150"/>
      <c r="H23" s="5"/>
      <c r="I23" s="185"/>
      <c r="J23" s="5"/>
      <c r="K23" s="12"/>
      <c r="L23" s="29"/>
      <c r="M23" s="13"/>
      <c r="N23" s="29"/>
      <c r="O23" s="35"/>
      <c r="P23" s="13"/>
      <c r="Q23" s="13"/>
      <c r="R23" s="13"/>
      <c r="S23" s="29"/>
    </row>
    <row r="24">
      <c r="A24" s="149">
        <v>17.0</v>
      </c>
      <c r="B24" s="159" t="s">
        <v>24</v>
      </c>
      <c r="C24" s="150">
        <v>0.3486111111111111</v>
      </c>
      <c r="D24" s="5"/>
      <c r="E24" s="150">
        <v>0.5555555555555556</v>
      </c>
      <c r="F24" s="5"/>
      <c r="G24" s="150">
        <v>0.6034722222222222</v>
      </c>
      <c r="H24" s="5"/>
      <c r="I24" s="150">
        <v>0.7451388888888889</v>
      </c>
      <c r="J24" s="5"/>
      <c r="K24" s="12"/>
      <c r="L24" s="29">
        <v>0.0</v>
      </c>
      <c r="M24" s="13"/>
      <c r="N24" s="29"/>
      <c r="O24" s="29"/>
      <c r="P24" s="29"/>
      <c r="Q24" s="13"/>
      <c r="R24" s="13"/>
      <c r="S24" s="13"/>
    </row>
    <row r="25">
      <c r="A25" s="149">
        <v>18.0</v>
      </c>
      <c r="B25" s="159" t="s">
        <v>58</v>
      </c>
      <c r="C25" s="150">
        <v>0.3506944444444444</v>
      </c>
      <c r="D25" s="5"/>
      <c r="E25" s="150">
        <v>0.5486111111111112</v>
      </c>
      <c r="F25" s="5"/>
      <c r="G25" s="150">
        <v>0.5951388888888889</v>
      </c>
      <c r="H25" s="5"/>
      <c r="I25" s="150">
        <v>0.7506944444444444</v>
      </c>
      <c r="J25" s="5"/>
      <c r="K25" s="12"/>
      <c r="L25" s="29">
        <v>0.0</v>
      </c>
      <c r="M25" s="13"/>
      <c r="N25" s="31" t="s">
        <v>27</v>
      </c>
      <c r="O25" s="35">
        <v>0.04652777777777778</v>
      </c>
      <c r="P25" s="29" t="s">
        <v>154</v>
      </c>
      <c r="Q25" s="13"/>
      <c r="R25" s="13"/>
      <c r="S25" s="13"/>
    </row>
    <row r="26">
      <c r="A26" s="149">
        <v>19.0</v>
      </c>
      <c r="B26" s="158" t="s">
        <v>18</v>
      </c>
      <c r="C26" s="150">
        <v>0.34930555555555554</v>
      </c>
      <c r="D26" s="5"/>
      <c r="E26" s="150">
        <v>0.5527777777777778</v>
      </c>
      <c r="F26" s="5"/>
      <c r="G26" s="150">
        <v>0.5972222222222222</v>
      </c>
      <c r="H26" s="5"/>
      <c r="I26" s="150">
        <v>0.7506944444444444</v>
      </c>
      <c r="J26" s="5"/>
      <c r="K26" s="40"/>
      <c r="L26" s="29">
        <v>9.0</v>
      </c>
      <c r="M26" s="29"/>
      <c r="N26" s="29"/>
      <c r="O26" s="35"/>
      <c r="P26" s="29"/>
      <c r="Q26" s="13"/>
      <c r="R26" s="13"/>
      <c r="S26" s="31"/>
    </row>
    <row r="27">
      <c r="A27" s="149">
        <v>20.0</v>
      </c>
      <c r="B27" s="159" t="s">
        <v>19</v>
      </c>
      <c r="C27" s="147" t="s">
        <v>150</v>
      </c>
      <c r="D27" s="15"/>
      <c r="E27" s="15"/>
      <c r="F27" s="15"/>
      <c r="G27" s="15"/>
      <c r="H27" s="15"/>
      <c r="I27" s="15"/>
      <c r="J27" s="5"/>
      <c r="K27" s="12"/>
      <c r="L27" s="29"/>
      <c r="M27" s="13"/>
      <c r="N27" s="13"/>
      <c r="O27" s="13"/>
      <c r="P27" s="13"/>
      <c r="Q27" s="13"/>
      <c r="R27" s="13"/>
      <c r="S27" s="13"/>
    </row>
    <row r="28">
      <c r="A28" s="149">
        <v>21.0</v>
      </c>
      <c r="B28" s="159" t="s">
        <v>20</v>
      </c>
      <c r="C28" s="150">
        <v>0.34791666666666665</v>
      </c>
      <c r="D28" s="5"/>
      <c r="E28" s="150">
        <v>0.5513888888888889</v>
      </c>
      <c r="F28" s="5"/>
      <c r="G28" s="150">
        <v>0.5972222222222222</v>
      </c>
      <c r="H28" s="5"/>
      <c r="I28" s="150">
        <v>0.7458333333333333</v>
      </c>
      <c r="J28" s="5"/>
      <c r="K28" s="12"/>
      <c r="L28" s="29">
        <v>0.0</v>
      </c>
      <c r="M28" s="13"/>
      <c r="N28" s="29"/>
      <c r="O28" s="35"/>
      <c r="P28" s="13"/>
      <c r="Q28" s="13"/>
      <c r="R28" s="13"/>
      <c r="S28" s="29"/>
    </row>
    <row r="29">
      <c r="A29" s="149">
        <v>22.0</v>
      </c>
      <c r="B29" s="159" t="s">
        <v>21</v>
      </c>
      <c r="C29" s="151"/>
      <c r="D29" s="5"/>
      <c r="E29" s="151"/>
      <c r="F29" s="5"/>
      <c r="G29" s="151"/>
      <c r="H29" s="5"/>
      <c r="I29" s="151"/>
      <c r="J29" s="5"/>
      <c r="K29" s="12"/>
      <c r="L29" s="29"/>
      <c r="M29" s="13"/>
      <c r="N29" s="29"/>
      <c r="O29" s="35"/>
      <c r="P29" s="13"/>
      <c r="Q29" s="13"/>
      <c r="R29" s="13"/>
      <c r="S29" s="29"/>
    </row>
    <row r="30">
      <c r="A30" s="149">
        <v>23.0</v>
      </c>
      <c r="B30" s="158" t="s">
        <v>23</v>
      </c>
      <c r="C30" s="151"/>
      <c r="D30" s="5"/>
      <c r="E30" s="151"/>
      <c r="F30" s="5"/>
      <c r="G30" s="151"/>
      <c r="H30" s="5"/>
      <c r="I30" s="151"/>
      <c r="J30" s="5"/>
      <c r="K30" s="12"/>
      <c r="L30" s="29"/>
      <c r="M30" s="13"/>
      <c r="N30" s="13"/>
      <c r="O30" s="13"/>
      <c r="P30" s="13"/>
      <c r="Q30" s="13"/>
      <c r="R30" s="13"/>
      <c r="S30" s="13"/>
    </row>
    <row r="31">
      <c r="A31" s="149">
        <v>24.0</v>
      </c>
      <c r="B31" s="159" t="s">
        <v>24</v>
      </c>
      <c r="C31" s="151">
        <v>0.35</v>
      </c>
      <c r="D31" s="5"/>
      <c r="E31" s="150">
        <v>0.5527777777777778</v>
      </c>
      <c r="F31" s="5"/>
      <c r="G31" s="150">
        <v>0.5979166666666667</v>
      </c>
      <c r="H31" s="5"/>
      <c r="I31" s="150">
        <v>0.7506944444444444</v>
      </c>
      <c r="J31" s="5"/>
      <c r="K31" s="12"/>
      <c r="L31" s="29">
        <v>7.0</v>
      </c>
      <c r="M31" s="13"/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58</v>
      </c>
      <c r="C32" s="150">
        <v>0.34791666666666665</v>
      </c>
      <c r="D32" s="5"/>
      <c r="E32" s="150">
        <v>0.5527777777777778</v>
      </c>
      <c r="F32" s="5"/>
      <c r="G32" s="150">
        <v>0.6027777777777777</v>
      </c>
      <c r="H32" s="5"/>
      <c r="I32" s="150">
        <v>0.7520833333333333</v>
      </c>
      <c r="J32" s="5"/>
      <c r="K32" s="12"/>
      <c r="L32" s="29">
        <v>0.0</v>
      </c>
      <c r="M32" s="13"/>
      <c r="N32" s="29"/>
      <c r="O32" s="29"/>
      <c r="P32" s="29"/>
      <c r="Q32" s="13"/>
      <c r="R32" s="13"/>
      <c r="S32" s="13"/>
    </row>
    <row r="33">
      <c r="A33" s="149">
        <v>26.0</v>
      </c>
      <c r="B33" s="159" t="s">
        <v>18</v>
      </c>
      <c r="C33" s="150">
        <v>0.34652777777777777</v>
      </c>
      <c r="D33" s="5"/>
      <c r="E33" s="150">
        <v>0.5479166666666667</v>
      </c>
      <c r="F33" s="5"/>
      <c r="G33" s="150">
        <v>0.5951388888888889</v>
      </c>
      <c r="H33" s="5"/>
      <c r="I33" s="150">
        <v>0.7493055555555556</v>
      </c>
      <c r="J33" s="5"/>
      <c r="K33" s="12"/>
      <c r="L33" s="29">
        <v>9.0</v>
      </c>
      <c r="M33" s="29"/>
      <c r="N33" s="31" t="s">
        <v>27</v>
      </c>
      <c r="O33" s="35">
        <v>0.06388888888888888</v>
      </c>
      <c r="P33" s="29" t="s">
        <v>106</v>
      </c>
      <c r="Q33" s="13"/>
      <c r="R33" s="13"/>
      <c r="S33" s="13"/>
    </row>
    <row r="34">
      <c r="A34" s="149">
        <v>27.0</v>
      </c>
      <c r="B34" s="159" t="s">
        <v>26</v>
      </c>
      <c r="C34" s="150">
        <v>0.35</v>
      </c>
      <c r="D34" s="5"/>
      <c r="E34" s="150">
        <v>0.5520833333333334</v>
      </c>
      <c r="F34" s="5"/>
      <c r="G34" s="150">
        <v>0.6</v>
      </c>
      <c r="H34" s="5"/>
      <c r="I34" s="150">
        <v>0.7534722222222222</v>
      </c>
      <c r="J34" s="5"/>
      <c r="K34" s="12"/>
      <c r="L34" s="29">
        <v>7.0</v>
      </c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149">
        <v>28.0</v>
      </c>
      <c r="B35" s="159" t="s">
        <v>20</v>
      </c>
      <c r="C35" s="151">
        <v>0.3506944444444444</v>
      </c>
      <c r="D35" s="5"/>
      <c r="E35" s="151">
        <v>0.5472222222222223</v>
      </c>
      <c r="F35" s="5"/>
      <c r="G35" s="151">
        <v>0.59375</v>
      </c>
      <c r="H35" s="5"/>
      <c r="I35" s="151">
        <v>0.7465277777777778</v>
      </c>
      <c r="J35" s="5"/>
      <c r="K35" s="13"/>
      <c r="L35" s="29">
        <v>0.0</v>
      </c>
      <c r="M35" s="46"/>
      <c r="N35" s="31" t="s">
        <v>27</v>
      </c>
      <c r="O35" s="35">
        <v>0.06875</v>
      </c>
      <c r="P35" s="29" t="s">
        <v>106</v>
      </c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21</v>
      </c>
      <c r="C36" s="151"/>
      <c r="D36" s="5"/>
      <c r="E36" s="150"/>
      <c r="F36" s="5"/>
      <c r="G36" s="150"/>
      <c r="H36" s="5"/>
      <c r="I36" s="150"/>
      <c r="J36" s="5"/>
      <c r="K36" s="12"/>
      <c r="L36" s="29"/>
      <c r="M36" s="13"/>
      <c r="N36" s="29"/>
      <c r="O36" s="35"/>
      <c r="P36" s="29"/>
      <c r="Q36" s="165"/>
      <c r="R36" s="165"/>
      <c r="S36" s="165"/>
    </row>
    <row r="37">
      <c r="A37" s="163">
        <v>30.0</v>
      </c>
      <c r="B37" s="159" t="s">
        <v>23</v>
      </c>
      <c r="C37" s="151"/>
      <c r="D37" s="5"/>
      <c r="E37" s="151"/>
      <c r="F37" s="5"/>
      <c r="G37" s="151"/>
      <c r="H37" s="5"/>
      <c r="I37" s="151"/>
      <c r="J37" s="5"/>
      <c r="K37" s="12"/>
      <c r="L37" s="29"/>
      <c r="M37" s="13"/>
      <c r="N37" s="29"/>
      <c r="O37" s="35"/>
      <c r="P37" s="13"/>
      <c r="Q37" s="13"/>
      <c r="R37" s="13"/>
      <c r="S37" s="13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35"/>
      <c r="M38" s="13"/>
      <c r="N38" s="35"/>
      <c r="O38" s="13"/>
      <c r="P38" s="13"/>
      <c r="Q38" s="13"/>
      <c r="R38" s="13"/>
      <c r="S38" s="13"/>
    </row>
    <row r="39">
      <c r="A39" s="107" t="s">
        <v>155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31"/>
      <c r="O39" s="13"/>
      <c r="P39" s="13"/>
      <c r="Q39" s="13"/>
      <c r="R39" s="13"/>
      <c r="S39" s="13"/>
    </row>
    <row r="40">
      <c r="A40" s="107" t="s">
        <v>156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13"/>
      <c r="Q40" s="13"/>
      <c r="R40" s="13"/>
      <c r="S40" s="13"/>
    </row>
    <row r="41">
      <c r="A41" s="132" t="s">
        <v>157</v>
      </c>
      <c r="B41" s="3"/>
      <c r="C41" s="3"/>
      <c r="D41" s="3"/>
      <c r="E41" s="3"/>
      <c r="F41" s="3"/>
      <c r="G41" s="3"/>
      <c r="H41" s="3"/>
      <c r="I41" s="3"/>
      <c r="J41" s="2"/>
      <c r="K41" s="6"/>
      <c r="L41" s="13"/>
      <c r="M41" s="13"/>
      <c r="N41" s="13"/>
      <c r="O41" s="13"/>
      <c r="P41" s="13"/>
      <c r="Q41" s="13"/>
      <c r="R41" s="13"/>
      <c r="S41" s="13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  <c r="M42" s="13"/>
      <c r="N42" s="13"/>
      <c r="O42" s="13"/>
      <c r="P42" s="13"/>
      <c r="Q42" s="13"/>
      <c r="R42" s="13"/>
      <c r="S42" s="13"/>
    </row>
    <row r="43">
      <c r="A43" s="139" t="s">
        <v>36</v>
      </c>
      <c r="B43" s="137"/>
      <c r="C43" s="140" t="s">
        <v>37</v>
      </c>
      <c r="D43" s="137"/>
      <c r="F43" s="137"/>
      <c r="H43" s="137"/>
      <c r="I43" s="137"/>
      <c r="J43" s="138"/>
      <c r="K43" s="6"/>
      <c r="M43" s="13"/>
      <c r="N43" s="13"/>
      <c r="O43" s="13"/>
      <c r="P43" s="13"/>
      <c r="Q43" s="13"/>
      <c r="R43" s="13"/>
      <c r="S43" s="13"/>
    </row>
    <row r="44">
      <c r="A44" s="58"/>
      <c r="B44" s="59"/>
      <c r="C44" s="59"/>
      <c r="D44" s="59"/>
      <c r="E44" s="11"/>
      <c r="F44" s="59"/>
      <c r="G44" s="11"/>
      <c r="H44" s="59"/>
      <c r="I44" s="59"/>
      <c r="J44" s="60"/>
    </row>
  </sheetData>
  <mergeCells count="13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E26:F26"/>
    <mergeCell ref="C27:J27"/>
    <mergeCell ref="C26:D26"/>
    <mergeCell ref="C28:D28"/>
    <mergeCell ref="E28:F28"/>
    <mergeCell ref="G28:H28"/>
    <mergeCell ref="I28:J28"/>
    <mergeCell ref="C29:D29"/>
    <mergeCell ref="E29:F29"/>
    <mergeCell ref="E31:F31"/>
    <mergeCell ref="G31:H31"/>
    <mergeCell ref="G29:H29"/>
    <mergeCell ref="I29:J29"/>
    <mergeCell ref="C30:D30"/>
    <mergeCell ref="E30:F30"/>
    <mergeCell ref="G30:H30"/>
    <mergeCell ref="I30:J30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4:E44"/>
    <mergeCell ref="F44:G44"/>
    <mergeCell ref="A38:J38"/>
    <mergeCell ref="A39:J39"/>
    <mergeCell ref="A40:J40"/>
    <mergeCell ref="A41:J41"/>
    <mergeCell ref="F42:G42"/>
    <mergeCell ref="D43:E43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C21:D21"/>
    <mergeCell ref="E21:F21"/>
    <mergeCell ref="G21:H21"/>
    <mergeCell ref="E24:F24"/>
    <mergeCell ref="G24:H24"/>
    <mergeCell ref="I21:J21"/>
    <mergeCell ref="C22:J22"/>
    <mergeCell ref="C23:D23"/>
    <mergeCell ref="E23:F23"/>
    <mergeCell ref="G23:H23"/>
    <mergeCell ref="I23:J23"/>
    <mergeCell ref="I24:J24"/>
    <mergeCell ref="G26:H26"/>
    <mergeCell ref="I26:J26"/>
    <mergeCell ref="G37:H37"/>
    <mergeCell ref="I37:J37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63"/>
    <col customWidth="1" min="13" max="13" width="8.5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135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158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5" t="s">
        <v>18</v>
      </c>
      <c r="C8" s="151">
        <v>0.34791666666666665</v>
      </c>
      <c r="D8" s="5"/>
      <c r="E8" s="151">
        <v>0.5520833333333334</v>
      </c>
      <c r="F8" s="5"/>
      <c r="G8" s="151">
        <v>0.5979166666666667</v>
      </c>
      <c r="H8" s="5"/>
      <c r="I8" s="151">
        <v>0.7472222222222222</v>
      </c>
      <c r="J8" s="5"/>
      <c r="K8" s="12"/>
      <c r="L8" s="29">
        <v>0.0</v>
      </c>
      <c r="M8" s="13"/>
      <c r="N8" s="13"/>
      <c r="O8" s="13"/>
      <c r="P8" s="13"/>
      <c r="Q8" s="13"/>
      <c r="R8" s="13"/>
      <c r="S8" s="13"/>
    </row>
    <row r="9">
      <c r="A9" s="149">
        <v>2.0</v>
      </c>
      <c r="B9" s="158" t="s">
        <v>19</v>
      </c>
      <c r="C9" s="151">
        <v>0.34930555555555554</v>
      </c>
      <c r="D9" s="5"/>
      <c r="E9" s="151">
        <v>0.5534722222222223</v>
      </c>
      <c r="F9" s="5"/>
      <c r="G9" s="151">
        <v>0.5993055555555555</v>
      </c>
      <c r="H9" s="5"/>
      <c r="I9" s="151">
        <v>0.7472222222222222</v>
      </c>
      <c r="J9" s="5"/>
      <c r="K9" s="12"/>
      <c r="L9" s="29">
        <v>0.0</v>
      </c>
      <c r="M9" s="29"/>
      <c r="N9" s="13"/>
      <c r="O9" s="13"/>
      <c r="P9" s="13"/>
      <c r="Q9" s="13"/>
      <c r="R9" s="13"/>
      <c r="S9" s="13"/>
    </row>
    <row r="10">
      <c r="A10" s="149">
        <v>3.0</v>
      </c>
      <c r="B10" s="155" t="s">
        <v>20</v>
      </c>
      <c r="C10" s="150">
        <v>0.3472222222222222</v>
      </c>
      <c r="D10" s="5"/>
      <c r="E10" s="150">
        <v>0.5708333333333333</v>
      </c>
      <c r="F10" s="5"/>
      <c r="G10" s="150">
        <v>0.6145833333333334</v>
      </c>
      <c r="H10" s="5"/>
      <c r="I10" s="150">
        <v>0.7465277777777778</v>
      </c>
      <c r="J10" s="5"/>
      <c r="K10" s="12"/>
      <c r="L10" s="29">
        <v>7.0</v>
      </c>
      <c r="M10" s="13"/>
      <c r="N10" s="13"/>
      <c r="O10" s="13"/>
      <c r="P10" s="13"/>
      <c r="Q10" s="13"/>
      <c r="R10" s="13"/>
      <c r="S10" s="13"/>
    </row>
    <row r="11">
      <c r="A11" s="149">
        <v>4.0</v>
      </c>
      <c r="B11" s="155" t="s">
        <v>21</v>
      </c>
      <c r="C11" s="150">
        <v>0.3277777777777778</v>
      </c>
      <c r="D11" s="5"/>
      <c r="E11" s="147" t="s">
        <v>103</v>
      </c>
      <c r="F11" s="5"/>
      <c r="G11" s="147" t="s">
        <v>103</v>
      </c>
      <c r="H11" s="5"/>
      <c r="I11" s="150">
        <v>0.5006944444444444</v>
      </c>
      <c r="J11" s="5"/>
      <c r="K11" s="12"/>
      <c r="L11" s="29">
        <v>9.0</v>
      </c>
      <c r="M11" s="13"/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23</v>
      </c>
      <c r="C12" s="147" t="s">
        <v>103</v>
      </c>
      <c r="D12" s="5"/>
      <c r="E12" s="147" t="s">
        <v>103</v>
      </c>
      <c r="F12" s="5"/>
      <c r="G12" s="147" t="s">
        <v>103</v>
      </c>
      <c r="H12" s="5"/>
      <c r="I12" s="147" t="s">
        <v>103</v>
      </c>
      <c r="J12" s="5"/>
      <c r="K12" s="12"/>
      <c r="L12" s="29"/>
      <c r="M12" s="13"/>
      <c r="N12" s="13"/>
      <c r="O12" s="13"/>
      <c r="P12" s="13"/>
      <c r="Q12" s="13"/>
      <c r="R12" s="13"/>
      <c r="S12" s="13"/>
    </row>
    <row r="13">
      <c r="A13" s="149">
        <v>6.0</v>
      </c>
      <c r="B13" s="158" t="s">
        <v>24</v>
      </c>
      <c r="C13" s="150">
        <v>0.3486111111111111</v>
      </c>
      <c r="D13" s="5"/>
      <c r="E13" s="150">
        <v>0.5576388888888889</v>
      </c>
      <c r="F13" s="5"/>
      <c r="G13" s="150">
        <v>0.6048611111111111</v>
      </c>
      <c r="H13" s="5"/>
      <c r="I13" s="150">
        <v>0.7458333333333333</v>
      </c>
      <c r="J13" s="5"/>
      <c r="K13" s="12"/>
      <c r="L13" s="29">
        <v>0.0</v>
      </c>
      <c r="M13" s="29"/>
      <c r="N13" s="29"/>
      <c r="O13" s="29"/>
      <c r="P13" s="13"/>
      <c r="Q13" s="13"/>
      <c r="R13" s="13"/>
      <c r="S13" s="13"/>
    </row>
    <row r="14">
      <c r="A14" s="149">
        <v>7.0</v>
      </c>
      <c r="B14" s="159" t="s">
        <v>58</v>
      </c>
      <c r="C14" s="150">
        <v>0.34791666666666665</v>
      </c>
      <c r="D14" s="5"/>
      <c r="E14" s="150">
        <v>0.5493055555555556</v>
      </c>
      <c r="F14" s="5"/>
      <c r="G14" s="150">
        <v>0.5965277777777778</v>
      </c>
      <c r="H14" s="5"/>
      <c r="I14" s="150">
        <v>0.7465277777777778</v>
      </c>
      <c r="J14" s="5"/>
      <c r="K14" s="12"/>
      <c r="L14" s="29">
        <v>0.0</v>
      </c>
      <c r="M14" s="13"/>
      <c r="N14" s="93" t="s">
        <v>27</v>
      </c>
      <c r="O14" s="94">
        <v>0.011111111111111112</v>
      </c>
      <c r="P14" s="95"/>
      <c r="Q14" s="13"/>
      <c r="R14" s="13"/>
      <c r="S14" s="29" t="s">
        <v>106</v>
      </c>
    </row>
    <row r="15">
      <c r="A15" s="149">
        <v>8.0</v>
      </c>
      <c r="B15" s="155" t="s">
        <v>18</v>
      </c>
      <c r="C15" s="150">
        <v>0.3486111111111111</v>
      </c>
      <c r="D15" s="5"/>
      <c r="E15" s="151">
        <v>0.5604166666666667</v>
      </c>
      <c r="F15" s="5"/>
      <c r="G15" s="151">
        <v>0.6055555555555555</v>
      </c>
      <c r="H15" s="5"/>
      <c r="I15" s="151">
        <v>0.7465277777777778</v>
      </c>
      <c r="J15" s="5"/>
      <c r="K15" s="12"/>
      <c r="L15" s="29">
        <v>0.0</v>
      </c>
      <c r="M15" s="13"/>
      <c r="N15" s="13"/>
      <c r="O15" s="35"/>
      <c r="P15" s="29"/>
      <c r="Q15" s="13"/>
      <c r="R15" s="13"/>
      <c r="S15" s="13"/>
    </row>
    <row r="16">
      <c r="A16" s="149">
        <v>9.0</v>
      </c>
      <c r="B16" s="158" t="s">
        <v>19</v>
      </c>
      <c r="C16" s="151">
        <v>0.3472222222222222</v>
      </c>
      <c r="D16" s="5"/>
      <c r="E16" s="151">
        <v>0.55</v>
      </c>
      <c r="F16" s="5"/>
      <c r="G16" s="151">
        <v>0.5979166666666667</v>
      </c>
      <c r="H16" s="5"/>
      <c r="I16" s="151">
        <v>0.7534722222222222</v>
      </c>
      <c r="J16" s="5"/>
      <c r="K16" s="12"/>
      <c r="L16" s="29">
        <v>11.0</v>
      </c>
      <c r="M16" s="13"/>
      <c r="N16" s="13"/>
      <c r="O16" s="13"/>
      <c r="P16" s="13"/>
      <c r="Q16" s="13"/>
      <c r="R16" s="13"/>
      <c r="S16" s="13"/>
    </row>
    <row r="17">
      <c r="A17" s="149">
        <v>10.0</v>
      </c>
      <c r="B17" s="159" t="s">
        <v>20</v>
      </c>
      <c r="C17" s="150">
        <v>0.34097222222222223</v>
      </c>
      <c r="D17" s="5"/>
      <c r="E17" s="150">
        <v>0.5541666666666667</v>
      </c>
      <c r="F17" s="5"/>
      <c r="G17" s="150">
        <v>0.6013888888888889</v>
      </c>
      <c r="H17" s="5"/>
      <c r="I17" s="150">
        <v>0.7486111111111111</v>
      </c>
      <c r="J17" s="5"/>
      <c r="K17" s="12"/>
      <c r="L17" s="39">
        <v>18.0</v>
      </c>
      <c r="M17" s="29"/>
      <c r="N17" s="31"/>
      <c r="O17" s="29"/>
      <c r="P17" s="13"/>
      <c r="Q17" s="13"/>
      <c r="R17" s="13"/>
      <c r="S17" s="13"/>
    </row>
    <row r="18">
      <c r="A18" s="149">
        <v>11.0</v>
      </c>
      <c r="B18" s="159" t="s">
        <v>21</v>
      </c>
      <c r="C18" s="150">
        <v>0.3284722222222222</v>
      </c>
      <c r="D18" s="5"/>
      <c r="E18" s="147" t="s">
        <v>103</v>
      </c>
      <c r="F18" s="5"/>
      <c r="G18" s="147" t="s">
        <v>103</v>
      </c>
      <c r="H18" s="5"/>
      <c r="I18" s="150">
        <v>0.49166666666666664</v>
      </c>
      <c r="J18" s="5"/>
      <c r="K18" s="12"/>
      <c r="L18" s="29">
        <v>0.0</v>
      </c>
      <c r="M18" s="13"/>
      <c r="N18" s="29"/>
      <c r="O18" s="35"/>
      <c r="P18" s="29"/>
      <c r="Q18" s="13"/>
      <c r="R18" s="13"/>
      <c r="S18" s="13"/>
    </row>
    <row r="19">
      <c r="A19" s="149">
        <v>12.0</v>
      </c>
      <c r="B19" s="155" t="s">
        <v>23</v>
      </c>
      <c r="C19" s="147" t="s">
        <v>103</v>
      </c>
      <c r="D19" s="5"/>
      <c r="E19" s="147" t="s">
        <v>103</v>
      </c>
      <c r="F19" s="5"/>
      <c r="G19" s="147" t="s">
        <v>103</v>
      </c>
      <c r="H19" s="5"/>
      <c r="I19" s="147" t="s">
        <v>103</v>
      </c>
      <c r="J19" s="5"/>
      <c r="K19" s="12"/>
      <c r="L19" s="39"/>
      <c r="M19" s="29"/>
      <c r="N19" s="13"/>
      <c r="O19" s="13"/>
      <c r="P19" s="13"/>
      <c r="Q19" s="13"/>
      <c r="R19" s="13"/>
      <c r="S19" s="13"/>
    </row>
    <row r="20">
      <c r="A20" s="149">
        <v>13.0</v>
      </c>
      <c r="B20" s="158" t="s">
        <v>24</v>
      </c>
      <c r="C20" s="150">
        <v>0.34791666666666665</v>
      </c>
      <c r="D20" s="5"/>
      <c r="E20" s="150">
        <v>0.5548611111111111</v>
      </c>
      <c r="F20" s="5"/>
      <c r="G20" s="150">
        <v>0.6013888888888889</v>
      </c>
      <c r="H20" s="5"/>
      <c r="I20" s="150">
        <v>0.7465277777777778</v>
      </c>
      <c r="J20" s="5"/>
      <c r="K20" s="12"/>
      <c r="L20" s="29">
        <v>0.0</v>
      </c>
      <c r="M20" s="13"/>
      <c r="N20" s="93" t="s">
        <v>27</v>
      </c>
      <c r="O20" s="94">
        <v>0.03125</v>
      </c>
      <c r="P20" s="95"/>
      <c r="Q20" s="13"/>
      <c r="R20" s="13"/>
      <c r="S20" s="29" t="s">
        <v>106</v>
      </c>
    </row>
    <row r="21">
      <c r="A21" s="149">
        <v>14.0</v>
      </c>
      <c r="B21" s="159" t="s">
        <v>25</v>
      </c>
      <c r="C21" s="150">
        <v>0.3506944444444444</v>
      </c>
      <c r="D21" s="5"/>
      <c r="E21" s="150">
        <v>0.5541666666666667</v>
      </c>
      <c r="F21" s="5"/>
      <c r="G21" s="150">
        <v>0.6013888888888889</v>
      </c>
      <c r="H21" s="5"/>
      <c r="I21" s="150">
        <v>0.7465277777777778</v>
      </c>
      <c r="J21" s="5"/>
      <c r="K21" s="12"/>
      <c r="L21" s="29">
        <v>0.0</v>
      </c>
      <c r="M21" s="13"/>
      <c r="N21" s="29"/>
      <c r="O21" s="35"/>
      <c r="P21" s="13"/>
      <c r="Q21" s="13"/>
      <c r="R21" s="13"/>
      <c r="S21" s="29"/>
    </row>
    <row r="22">
      <c r="A22" s="149">
        <v>15.0</v>
      </c>
      <c r="B22" s="155" t="s">
        <v>18</v>
      </c>
      <c r="C22" s="150">
        <v>0.3486111111111111</v>
      </c>
      <c r="D22" s="5"/>
      <c r="E22" s="151">
        <v>0.5520833333333334</v>
      </c>
      <c r="F22" s="5"/>
      <c r="G22" s="151">
        <v>0.5993055555555555</v>
      </c>
      <c r="H22" s="5"/>
      <c r="I22" s="150">
        <v>0.7465277777777778</v>
      </c>
      <c r="J22" s="5"/>
      <c r="K22" s="12"/>
      <c r="L22" s="29">
        <v>0.0</v>
      </c>
      <c r="M22" s="29"/>
      <c r="N22" s="31"/>
      <c r="O22" s="29"/>
      <c r="P22" s="13"/>
      <c r="Q22" s="13"/>
      <c r="R22" s="13"/>
      <c r="S22" s="13"/>
    </row>
    <row r="23">
      <c r="A23" s="149">
        <v>16.0</v>
      </c>
      <c r="B23" s="158" t="s">
        <v>19</v>
      </c>
      <c r="C23" s="150">
        <v>0.3458333333333333</v>
      </c>
      <c r="D23" s="5"/>
      <c r="E23" s="150">
        <v>0.5555555555555556</v>
      </c>
      <c r="F23" s="5"/>
      <c r="G23" s="150">
        <v>0.6006944444444444</v>
      </c>
      <c r="H23" s="5"/>
      <c r="I23" s="185">
        <v>0.7506944444444444</v>
      </c>
      <c r="J23" s="5"/>
      <c r="K23" s="12"/>
      <c r="L23" s="29">
        <v>13.0</v>
      </c>
      <c r="M23" s="13"/>
      <c r="N23" s="93" t="s">
        <v>27</v>
      </c>
      <c r="O23" s="94">
        <v>0.04027777777777778</v>
      </c>
      <c r="P23" s="95"/>
      <c r="Q23" s="13"/>
      <c r="R23" s="13"/>
      <c r="S23" s="29" t="s">
        <v>106</v>
      </c>
    </row>
    <row r="24">
      <c r="A24" s="149">
        <v>17.0</v>
      </c>
      <c r="B24" s="159" t="s">
        <v>20</v>
      </c>
      <c r="C24" s="150">
        <v>0.3451388888888889</v>
      </c>
      <c r="D24" s="5"/>
      <c r="E24" s="150">
        <v>0.5541666666666667</v>
      </c>
      <c r="F24" s="5"/>
      <c r="G24" s="150">
        <v>0.6006944444444444</v>
      </c>
      <c r="H24" s="5"/>
      <c r="I24" s="150">
        <v>0.7486111111111111</v>
      </c>
      <c r="J24" s="5"/>
      <c r="K24" s="12"/>
      <c r="L24" s="29">
        <v>9.0</v>
      </c>
      <c r="M24" s="13"/>
      <c r="N24" s="29"/>
      <c r="O24" s="29"/>
      <c r="P24" s="29"/>
      <c r="Q24" s="13"/>
      <c r="R24" s="13"/>
      <c r="S24" s="13"/>
    </row>
    <row r="25">
      <c r="A25" s="149">
        <v>18.0</v>
      </c>
      <c r="B25" s="159" t="s">
        <v>21</v>
      </c>
      <c r="C25" s="150"/>
      <c r="D25" s="5"/>
      <c r="E25" s="150"/>
      <c r="F25" s="5"/>
      <c r="G25" s="150"/>
      <c r="H25" s="5"/>
      <c r="I25" s="150"/>
      <c r="J25" s="5"/>
      <c r="K25" s="12"/>
      <c r="L25" s="29"/>
      <c r="M25" s="13"/>
      <c r="N25" s="13"/>
      <c r="O25" s="13"/>
      <c r="P25" s="13"/>
      <c r="Q25" s="13"/>
      <c r="R25" s="13"/>
      <c r="S25" s="13"/>
    </row>
    <row r="26">
      <c r="A26" s="149">
        <v>19.0</v>
      </c>
      <c r="B26" s="158" t="s">
        <v>23</v>
      </c>
      <c r="C26" s="150"/>
      <c r="D26" s="5"/>
      <c r="E26" s="150"/>
      <c r="F26" s="5"/>
      <c r="G26" s="150"/>
      <c r="H26" s="5"/>
      <c r="I26" s="150"/>
      <c r="J26" s="5"/>
      <c r="K26" s="40"/>
      <c r="L26" s="29"/>
      <c r="M26" s="29"/>
      <c r="N26" s="29"/>
      <c r="O26" s="35"/>
      <c r="P26" s="29"/>
      <c r="Q26" s="13"/>
      <c r="R26" s="13"/>
      <c r="S26" s="31"/>
    </row>
    <row r="27">
      <c r="A27" s="149">
        <v>20.0</v>
      </c>
      <c r="B27" s="159" t="s">
        <v>24</v>
      </c>
      <c r="C27" s="150">
        <v>0.3458333333333333</v>
      </c>
      <c r="D27" s="5"/>
      <c r="E27" s="150">
        <v>0.5451388888888888</v>
      </c>
      <c r="F27" s="5"/>
      <c r="G27" s="150">
        <v>0.5930555555555556</v>
      </c>
      <c r="H27" s="5"/>
      <c r="I27" s="150">
        <v>0.75</v>
      </c>
      <c r="J27" s="5"/>
      <c r="K27" s="12"/>
      <c r="L27" s="29">
        <v>8.0</v>
      </c>
      <c r="M27" s="13"/>
      <c r="N27" s="13"/>
      <c r="O27" s="13"/>
      <c r="P27" s="13"/>
      <c r="Q27" s="13"/>
      <c r="R27" s="13"/>
      <c r="S27" s="13"/>
    </row>
    <row r="28">
      <c r="A28" s="149">
        <v>21.0</v>
      </c>
      <c r="B28" s="159" t="s">
        <v>58</v>
      </c>
      <c r="C28" s="150">
        <v>0.34791666666666665</v>
      </c>
      <c r="D28" s="5"/>
      <c r="E28" s="150">
        <v>0.5583333333333333</v>
      </c>
      <c r="F28" s="5"/>
      <c r="G28" s="150">
        <v>0.6048611111111111</v>
      </c>
      <c r="H28" s="5"/>
      <c r="I28" s="150">
        <v>0.7493055555555556</v>
      </c>
      <c r="J28" s="5"/>
      <c r="K28" s="12"/>
      <c r="L28" s="29">
        <v>6.0</v>
      </c>
      <c r="M28" s="13"/>
      <c r="N28" s="93" t="s">
        <v>27</v>
      </c>
      <c r="O28" s="94">
        <v>0.05625</v>
      </c>
      <c r="P28" s="95"/>
      <c r="Q28" s="13"/>
      <c r="R28" s="13"/>
      <c r="S28" s="29" t="s">
        <v>106</v>
      </c>
    </row>
    <row r="29">
      <c r="A29" s="149">
        <v>22.0</v>
      </c>
      <c r="B29" s="158" t="s">
        <v>18</v>
      </c>
      <c r="C29" s="151">
        <v>0.3486111111111111</v>
      </c>
      <c r="D29" s="5"/>
      <c r="E29" s="151">
        <v>0.5493055555555556</v>
      </c>
      <c r="F29" s="5"/>
      <c r="G29" s="151">
        <v>0.5923611111111111</v>
      </c>
      <c r="H29" s="5"/>
      <c r="I29" s="151">
        <v>0.7444444444444445</v>
      </c>
      <c r="J29" s="5"/>
      <c r="K29" s="12"/>
      <c r="L29" s="29">
        <v>0.0</v>
      </c>
      <c r="M29" s="13"/>
      <c r="N29" s="29"/>
      <c r="O29" s="35"/>
      <c r="P29" s="13"/>
      <c r="Q29" s="13"/>
      <c r="R29" s="13"/>
      <c r="S29" s="29"/>
    </row>
    <row r="30">
      <c r="A30" s="149">
        <v>23.0</v>
      </c>
      <c r="B30" s="159" t="s">
        <v>19</v>
      </c>
      <c r="C30" s="151">
        <v>0.35</v>
      </c>
      <c r="D30" s="5"/>
      <c r="E30" s="151">
        <v>0.5618055555555556</v>
      </c>
      <c r="F30" s="5"/>
      <c r="G30" s="151">
        <v>0.6097222222222223</v>
      </c>
      <c r="H30" s="5"/>
      <c r="I30" s="151">
        <v>0.75</v>
      </c>
      <c r="J30" s="5"/>
      <c r="K30" s="12"/>
      <c r="L30" s="29">
        <v>0.0</v>
      </c>
      <c r="M30" s="13"/>
      <c r="N30" s="13"/>
      <c r="O30" s="13"/>
      <c r="P30" s="13"/>
      <c r="Q30" s="13"/>
      <c r="R30" s="13"/>
      <c r="S30" s="13"/>
    </row>
    <row r="31">
      <c r="A31" s="149">
        <v>24.0</v>
      </c>
      <c r="B31" s="159" t="s">
        <v>20</v>
      </c>
      <c r="C31" s="151">
        <v>0.3451388888888889</v>
      </c>
      <c r="D31" s="5"/>
      <c r="E31" s="150">
        <v>0.5527777777777778</v>
      </c>
      <c r="F31" s="5"/>
      <c r="G31" s="150">
        <v>0.5986111111111111</v>
      </c>
      <c r="H31" s="5"/>
      <c r="I31" s="150">
        <v>0.7465277777777778</v>
      </c>
      <c r="J31" s="5"/>
      <c r="K31" s="12"/>
      <c r="L31" s="29">
        <v>7.0</v>
      </c>
      <c r="M31" s="13"/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21</v>
      </c>
      <c r="C32" s="150"/>
      <c r="D32" s="5"/>
      <c r="E32" s="150"/>
      <c r="F32" s="5"/>
      <c r="G32" s="150"/>
      <c r="H32" s="5"/>
      <c r="I32" s="150"/>
      <c r="J32" s="5"/>
      <c r="K32" s="12"/>
      <c r="L32" s="29"/>
      <c r="M32" s="13"/>
      <c r="N32" s="29"/>
      <c r="O32" s="29"/>
      <c r="P32" s="29"/>
      <c r="Q32" s="13"/>
      <c r="R32" s="13"/>
      <c r="S32" s="13"/>
    </row>
    <row r="33">
      <c r="A33" s="149">
        <v>26.0</v>
      </c>
      <c r="B33" s="158" t="s">
        <v>23</v>
      </c>
      <c r="C33" s="150"/>
      <c r="D33" s="5"/>
      <c r="E33" s="150"/>
      <c r="F33" s="5"/>
      <c r="G33" s="150"/>
      <c r="H33" s="5"/>
      <c r="I33" s="150"/>
      <c r="J33" s="5"/>
      <c r="K33" s="12"/>
      <c r="L33" s="29"/>
      <c r="M33" s="29"/>
      <c r="N33" s="29"/>
      <c r="O33" s="35"/>
      <c r="P33" s="13"/>
      <c r="Q33" s="13"/>
      <c r="R33" s="13"/>
      <c r="S33" s="13"/>
    </row>
    <row r="34">
      <c r="A34" s="149">
        <v>27.0</v>
      </c>
      <c r="B34" s="159" t="s">
        <v>24</v>
      </c>
      <c r="C34" s="150">
        <v>0.3472222222222222</v>
      </c>
      <c r="D34" s="5"/>
      <c r="E34" s="150">
        <v>0.5520833333333334</v>
      </c>
      <c r="F34" s="5"/>
      <c r="G34" s="150">
        <v>0.5979166666666667</v>
      </c>
      <c r="H34" s="5"/>
      <c r="I34" s="150">
        <v>0.7527777777777778</v>
      </c>
      <c r="J34" s="5"/>
      <c r="K34" s="12"/>
      <c r="L34" s="29">
        <v>13.0</v>
      </c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149">
        <v>28.0</v>
      </c>
      <c r="B35" s="159" t="s">
        <v>58</v>
      </c>
      <c r="C35" s="151">
        <v>0.34652777777777777</v>
      </c>
      <c r="D35" s="5"/>
      <c r="E35" s="151">
        <v>0.5527777777777778</v>
      </c>
      <c r="F35" s="5"/>
      <c r="G35" s="151">
        <v>0.5993055555555555</v>
      </c>
      <c r="H35" s="5"/>
      <c r="I35" s="151">
        <v>0.75</v>
      </c>
      <c r="J35" s="5"/>
      <c r="K35" s="13"/>
      <c r="L35" s="29">
        <v>9.0</v>
      </c>
      <c r="M35" s="46"/>
      <c r="N35" s="29"/>
      <c r="O35" s="35"/>
      <c r="P35" s="13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18</v>
      </c>
      <c r="C36" s="151">
        <v>0.34652777777777777</v>
      </c>
      <c r="D36" s="5"/>
      <c r="E36" s="150">
        <v>0.5486111111111112</v>
      </c>
      <c r="F36" s="5"/>
      <c r="G36" s="150">
        <v>0.5944444444444444</v>
      </c>
      <c r="H36" s="5"/>
      <c r="I36" s="150">
        <v>0.7444444444444445</v>
      </c>
      <c r="J36" s="5"/>
      <c r="K36" s="12"/>
      <c r="L36" s="29">
        <v>0.0</v>
      </c>
      <c r="M36" s="13"/>
      <c r="N36" s="29"/>
      <c r="O36" s="35"/>
      <c r="P36" s="29"/>
      <c r="Q36" s="165"/>
      <c r="R36" s="165"/>
      <c r="S36" s="165"/>
    </row>
    <row r="37">
      <c r="A37" s="163">
        <v>30.0</v>
      </c>
      <c r="B37" s="159" t="s">
        <v>26</v>
      </c>
      <c r="C37" s="151">
        <v>0.3458333333333333</v>
      </c>
      <c r="D37" s="5"/>
      <c r="E37" s="151">
        <v>0.5451388888888888</v>
      </c>
      <c r="F37" s="5"/>
      <c r="G37" s="151">
        <v>0.5916666666666667</v>
      </c>
      <c r="H37" s="5"/>
      <c r="I37" s="151">
        <v>0.75</v>
      </c>
      <c r="J37" s="5"/>
      <c r="K37" s="12"/>
      <c r="L37" s="29">
        <v>10.0</v>
      </c>
      <c r="M37" s="13"/>
      <c r="N37" s="93" t="s">
        <v>27</v>
      </c>
      <c r="O37" s="94">
        <v>0.08333333333333333</v>
      </c>
      <c r="P37" s="95"/>
      <c r="Q37" s="13"/>
      <c r="R37" s="13"/>
      <c r="S37" s="13"/>
    </row>
    <row r="38">
      <c r="A38" s="163">
        <v>31.0</v>
      </c>
      <c r="B38" s="159" t="s">
        <v>20</v>
      </c>
      <c r="C38" s="151">
        <v>0.3472222222222222</v>
      </c>
      <c r="D38" s="5"/>
      <c r="E38" s="151">
        <v>0.5486111111111112</v>
      </c>
      <c r="F38" s="5"/>
      <c r="G38" s="151">
        <v>0.5958333333333333</v>
      </c>
      <c r="H38" s="5"/>
      <c r="I38" s="151">
        <v>0.7451388888888889</v>
      </c>
      <c r="J38" s="5"/>
      <c r="K38" s="12"/>
      <c r="L38" s="29">
        <v>0.0</v>
      </c>
      <c r="M38" s="13"/>
      <c r="N38" s="93" t="s">
        <v>27</v>
      </c>
      <c r="O38" s="94">
        <v>0.08333333333333333</v>
      </c>
      <c r="P38" s="95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35"/>
      <c r="M39" s="13"/>
      <c r="N39" s="35"/>
      <c r="O39" s="13"/>
      <c r="P39" s="13"/>
      <c r="Q39" s="13"/>
      <c r="R39" s="13"/>
      <c r="S39" s="13"/>
    </row>
    <row r="40">
      <c r="A40" s="107" t="s">
        <v>159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31"/>
      <c r="O40" s="13"/>
      <c r="P40" s="13"/>
      <c r="Q40" s="13"/>
    </row>
    <row r="41">
      <c r="A41" s="107" t="s">
        <v>156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13"/>
      <c r="Q41" s="13"/>
    </row>
    <row r="42">
      <c r="A42" s="132" t="s">
        <v>160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  <c r="Q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</row>
  </sheetData>
  <mergeCells count="14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5:E45"/>
    <mergeCell ref="F45:G45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13.63"/>
    <col customWidth="1" min="13" max="13" width="17.5"/>
    <col customWidth="1" min="14" max="14" width="12.0"/>
    <col customWidth="1" min="15" max="15" width="16.13"/>
    <col customWidth="1" min="16" max="16" width="15.0"/>
    <col customWidth="1" min="17" max="17" width="19.0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7" t="s">
        <v>39</v>
      </c>
      <c r="C4" s="15"/>
      <c r="D4" s="15"/>
      <c r="E4" s="15"/>
      <c r="F4" s="15"/>
      <c r="G4" s="68"/>
      <c r="H4" s="3"/>
      <c r="I4" s="68"/>
      <c r="J4" s="69"/>
      <c r="K4" s="6"/>
      <c r="L4" s="64" t="s">
        <v>40</v>
      </c>
      <c r="M4" s="65">
        <v>0.006944444444444444</v>
      </c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158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82" t="s">
        <v>42</v>
      </c>
      <c r="M7" s="82" t="s">
        <v>43</v>
      </c>
      <c r="N7" s="82" t="s">
        <v>44</v>
      </c>
      <c r="P7" s="13"/>
      <c r="Q7" s="13"/>
      <c r="R7" s="13"/>
    </row>
    <row r="8">
      <c r="A8" s="148">
        <v>1.0</v>
      </c>
      <c r="B8" s="155" t="s">
        <v>18</v>
      </c>
      <c r="C8" s="151">
        <v>0.34791666666666665</v>
      </c>
      <c r="D8" s="5"/>
      <c r="E8" s="151">
        <v>0.5409722222222222</v>
      </c>
      <c r="F8" s="5"/>
      <c r="G8" s="151">
        <v>0.5826388888888889</v>
      </c>
      <c r="H8" s="5"/>
      <c r="I8" s="151">
        <v>0.7479166666666667</v>
      </c>
      <c r="J8" s="5"/>
      <c r="K8" s="12"/>
      <c r="L8" s="90">
        <f t="shared" ref="L8:L10" si="1">(E8-C8)+(I8-G8)</f>
        <v>0.3583333333</v>
      </c>
      <c r="M8" s="92">
        <f t="shared" ref="M8:M10" si="2">IF((L8-$M$3)&gt;$M$4,L8-$M$3,0)</f>
        <v>0.025</v>
      </c>
      <c r="N8" s="91">
        <f t="shared" ref="N8:N10" si="3">+IF(($M$3-L8)&gt;$M$4,$M$3-L8,0)</f>
        <v>0</v>
      </c>
      <c r="Q8" s="85"/>
      <c r="R8" s="31">
        <v>12.0</v>
      </c>
      <c r="S8" s="31">
        <v>30.0</v>
      </c>
      <c r="T8" s="13"/>
      <c r="U8" s="13"/>
      <c r="V8" s="13"/>
      <c r="W8" s="13"/>
      <c r="X8" s="13"/>
    </row>
    <row r="9">
      <c r="A9" s="149">
        <v>2.0</v>
      </c>
      <c r="B9" s="158" t="s">
        <v>19</v>
      </c>
      <c r="C9" s="151">
        <v>0.34930555555555554</v>
      </c>
      <c r="D9" s="5"/>
      <c r="E9" s="151">
        <v>0.5444444444444444</v>
      </c>
      <c r="F9" s="5"/>
      <c r="G9" s="151">
        <v>0.5791666666666667</v>
      </c>
      <c r="H9" s="5"/>
      <c r="I9" s="151">
        <v>0.7291666666666666</v>
      </c>
      <c r="J9" s="5"/>
      <c r="K9" s="86"/>
      <c r="L9" s="90">
        <f t="shared" si="1"/>
        <v>0.3451388889</v>
      </c>
      <c r="M9" s="92">
        <f t="shared" si="2"/>
        <v>0.01180555556</v>
      </c>
      <c r="N9" s="91">
        <f t="shared" si="3"/>
        <v>0</v>
      </c>
      <c r="Q9" s="85"/>
      <c r="R9" s="31">
        <v>17.0</v>
      </c>
      <c r="S9" s="31"/>
      <c r="T9" s="13"/>
      <c r="U9" s="13"/>
      <c r="V9" s="13"/>
      <c r="W9" s="13"/>
      <c r="X9" s="13"/>
    </row>
    <row r="10">
      <c r="A10" s="149">
        <v>3.0</v>
      </c>
      <c r="B10" s="155" t="s">
        <v>20</v>
      </c>
      <c r="C10" s="150">
        <v>0.3472222222222222</v>
      </c>
      <c r="D10" s="5"/>
      <c r="E10" s="150">
        <v>0.5416666666666666</v>
      </c>
      <c r="F10" s="5"/>
      <c r="G10" s="150">
        <v>0.5888888888888889</v>
      </c>
      <c r="H10" s="5"/>
      <c r="I10" s="150">
        <v>0.7381944444444445</v>
      </c>
      <c r="J10" s="5"/>
      <c r="K10" s="12"/>
      <c r="L10" s="90">
        <f t="shared" si="1"/>
        <v>0.34375</v>
      </c>
      <c r="M10" s="92">
        <f t="shared" si="2"/>
        <v>0.01041666667</v>
      </c>
      <c r="N10" s="91">
        <f t="shared" si="3"/>
        <v>0</v>
      </c>
      <c r="Q10" s="85">
        <f>23-8</f>
        <v>15</v>
      </c>
      <c r="R10" s="31">
        <v>0.0</v>
      </c>
      <c r="S10" s="31">
        <v>30.0</v>
      </c>
      <c r="T10" s="13"/>
      <c r="U10" s="13"/>
      <c r="V10" s="13"/>
      <c r="W10" s="13"/>
      <c r="X10" s="13"/>
    </row>
    <row r="11">
      <c r="A11" s="149">
        <v>4.0</v>
      </c>
      <c r="B11" s="155" t="s">
        <v>21</v>
      </c>
      <c r="C11" s="150">
        <v>0.3277777777777778</v>
      </c>
      <c r="D11" s="5"/>
      <c r="E11" s="147" t="s">
        <v>103</v>
      </c>
      <c r="F11" s="5"/>
      <c r="G11" s="147" t="s">
        <v>103</v>
      </c>
      <c r="H11" s="5"/>
      <c r="I11" s="150">
        <v>0.5006944444444444</v>
      </c>
      <c r="J11" s="5"/>
      <c r="K11" s="12"/>
      <c r="L11" s="89"/>
      <c r="M11" s="90">
        <v>0.00625</v>
      </c>
      <c r="N11" s="91"/>
      <c r="Q11" s="85"/>
      <c r="R11" s="31">
        <v>9.0</v>
      </c>
      <c r="S11" s="31"/>
      <c r="T11" s="13"/>
      <c r="U11" s="13"/>
      <c r="V11" s="13"/>
      <c r="W11" s="13"/>
      <c r="X11" s="13"/>
    </row>
    <row r="12">
      <c r="A12" s="149">
        <v>5.0</v>
      </c>
      <c r="B12" s="155" t="s">
        <v>23</v>
      </c>
      <c r="C12" s="147" t="s">
        <v>103</v>
      </c>
      <c r="D12" s="5"/>
      <c r="E12" s="147" t="s">
        <v>103</v>
      </c>
      <c r="F12" s="5"/>
      <c r="G12" s="147" t="s">
        <v>103</v>
      </c>
      <c r="H12" s="5"/>
      <c r="I12" s="147" t="s">
        <v>103</v>
      </c>
      <c r="J12" s="5"/>
      <c r="K12" s="12"/>
      <c r="L12" s="130"/>
      <c r="M12" s="91"/>
      <c r="N12" s="91"/>
      <c r="R12" s="29"/>
      <c r="S12" s="29"/>
      <c r="T12" s="13"/>
      <c r="U12" s="13"/>
      <c r="V12" s="13"/>
      <c r="W12" s="13"/>
      <c r="X12" s="13"/>
    </row>
    <row r="13">
      <c r="A13" s="149">
        <v>6.0</v>
      </c>
      <c r="B13" s="158" t="s">
        <v>24</v>
      </c>
      <c r="C13" s="150">
        <v>0.3486111111111111</v>
      </c>
      <c r="D13" s="5"/>
      <c r="E13" s="150">
        <v>0.5423611111111111</v>
      </c>
      <c r="F13" s="5"/>
      <c r="G13" s="150">
        <v>0.5819444444444445</v>
      </c>
      <c r="H13" s="5"/>
      <c r="I13" s="150">
        <v>0.7465277777777778</v>
      </c>
      <c r="J13" s="5"/>
      <c r="K13" s="12"/>
      <c r="L13" s="90">
        <f t="shared" ref="L13:L17" si="4">(E13-C13)+(I13-G13)</f>
        <v>0.3583333333</v>
      </c>
      <c r="M13" s="92">
        <f t="shared" ref="M13:M17" si="5">IF((L13-$M$3)&gt;$M$4,L13-$M$3,0)</f>
        <v>0.025</v>
      </c>
      <c r="N13" s="91">
        <f t="shared" ref="N13:N17" si="6">+IF(($M$3-L13)&gt;$M$4,$M$3-L13,0)</f>
        <v>0</v>
      </c>
      <c r="R13" s="29">
        <v>6.0</v>
      </c>
      <c r="S13" s="29">
        <v>30.0</v>
      </c>
      <c r="T13" s="29"/>
      <c r="U13" s="37"/>
      <c r="V13" s="35"/>
      <c r="W13" s="29"/>
      <c r="X13" s="13"/>
    </row>
    <row r="14">
      <c r="A14" s="149">
        <v>7.0</v>
      </c>
      <c r="B14" s="159" t="s">
        <v>58</v>
      </c>
      <c r="C14" s="150">
        <v>0.34791666666666665</v>
      </c>
      <c r="D14" s="5"/>
      <c r="E14" s="150">
        <v>0.5430555555555555</v>
      </c>
      <c r="F14" s="5"/>
      <c r="G14" s="150">
        <v>0.5826388888888889</v>
      </c>
      <c r="H14" s="5"/>
      <c r="I14" s="150">
        <v>0.7465277777777778</v>
      </c>
      <c r="J14" s="5"/>
      <c r="K14" s="12"/>
      <c r="L14" s="90">
        <f t="shared" si="4"/>
        <v>0.3590277778</v>
      </c>
      <c r="M14" s="92">
        <f t="shared" si="5"/>
        <v>0.02569444444</v>
      </c>
      <c r="N14" s="91">
        <f t="shared" si="6"/>
        <v>0</v>
      </c>
      <c r="R14" s="29">
        <v>7.0</v>
      </c>
      <c r="S14" s="29">
        <v>30.0</v>
      </c>
      <c r="T14" s="93" t="s">
        <v>27</v>
      </c>
      <c r="U14" s="94">
        <v>0.11875</v>
      </c>
      <c r="V14" s="95"/>
      <c r="W14" s="13"/>
      <c r="X14" s="13"/>
    </row>
    <row r="15">
      <c r="A15" s="149">
        <v>8.0</v>
      </c>
      <c r="B15" s="155" t="s">
        <v>18</v>
      </c>
      <c r="C15" s="151">
        <v>0.3486111111111111</v>
      </c>
      <c r="D15" s="5"/>
      <c r="E15" s="151">
        <v>0.5479166666666667</v>
      </c>
      <c r="F15" s="5"/>
      <c r="G15" s="151">
        <v>0.5840277777777778</v>
      </c>
      <c r="H15" s="5"/>
      <c r="I15" s="151">
        <v>0.7333333333333333</v>
      </c>
      <c r="J15" s="5"/>
      <c r="K15" s="12"/>
      <c r="L15" s="90">
        <f t="shared" si="4"/>
        <v>0.3486111111</v>
      </c>
      <c r="M15" s="92">
        <f t="shared" si="5"/>
        <v>0.01527777778</v>
      </c>
      <c r="N15" s="91">
        <f t="shared" si="6"/>
        <v>0</v>
      </c>
      <c r="R15" s="29">
        <v>9.0</v>
      </c>
      <c r="S15" s="29">
        <v>30.0</v>
      </c>
      <c r="T15" s="29"/>
      <c r="U15" s="37"/>
      <c r="V15" s="35"/>
      <c r="W15" s="13"/>
      <c r="X15" s="13"/>
    </row>
    <row r="16">
      <c r="A16" s="149">
        <v>9.0</v>
      </c>
      <c r="B16" s="158" t="s">
        <v>19</v>
      </c>
      <c r="C16" s="151">
        <v>0.3472222222222222</v>
      </c>
      <c r="D16" s="5"/>
      <c r="E16" s="151">
        <v>0.5423611111111111</v>
      </c>
      <c r="F16" s="5"/>
      <c r="G16" s="151">
        <v>0.5826388888888889</v>
      </c>
      <c r="H16" s="5"/>
      <c r="I16" s="151">
        <v>0.7520833333333333</v>
      </c>
      <c r="J16" s="5"/>
      <c r="K16" s="12"/>
      <c r="L16" s="90">
        <f t="shared" si="4"/>
        <v>0.3645833333</v>
      </c>
      <c r="M16" s="92">
        <f t="shared" si="5"/>
        <v>0.03125</v>
      </c>
      <c r="N16" s="91">
        <f t="shared" si="6"/>
        <v>0</v>
      </c>
      <c r="R16" s="31">
        <v>-13.0</v>
      </c>
      <c r="S16" s="29">
        <v>30.0</v>
      </c>
      <c r="T16" s="35"/>
      <c r="U16" s="13"/>
      <c r="V16" s="13"/>
      <c r="W16" s="13"/>
      <c r="X16" s="13"/>
    </row>
    <row r="17">
      <c r="A17" s="149">
        <v>10.0</v>
      </c>
      <c r="B17" s="159" t="s">
        <v>20</v>
      </c>
      <c r="C17" s="150">
        <v>0.30625</v>
      </c>
      <c r="D17" s="5"/>
      <c r="E17" s="150">
        <v>0.54375</v>
      </c>
      <c r="F17" s="5"/>
      <c r="G17" s="150">
        <v>0.5819444444444445</v>
      </c>
      <c r="H17" s="5"/>
      <c r="I17" s="150">
        <v>0.7291666666666666</v>
      </c>
      <c r="J17" s="5"/>
      <c r="K17" s="46"/>
      <c r="L17" s="90">
        <f t="shared" si="4"/>
        <v>0.3847222222</v>
      </c>
      <c r="M17" s="92">
        <f t="shared" si="5"/>
        <v>0.05138888889</v>
      </c>
      <c r="N17" s="91">
        <f t="shared" si="6"/>
        <v>0</v>
      </c>
      <c r="R17" s="35">
        <v>0.05138888888888889</v>
      </c>
      <c r="S17" s="29"/>
      <c r="T17" s="13"/>
      <c r="U17" s="13"/>
      <c r="V17" s="13"/>
      <c r="W17" s="13"/>
      <c r="X17" s="13"/>
    </row>
    <row r="18">
      <c r="A18" s="149">
        <v>11.0</v>
      </c>
      <c r="B18" s="159" t="s">
        <v>21</v>
      </c>
      <c r="C18" s="150">
        <v>0.3277777777777778</v>
      </c>
      <c r="D18" s="5"/>
      <c r="E18" s="147" t="s">
        <v>103</v>
      </c>
      <c r="F18" s="5"/>
      <c r="G18" s="147" t="s">
        <v>103</v>
      </c>
      <c r="H18" s="5"/>
      <c r="I18" s="150">
        <v>0.4909722222222222</v>
      </c>
      <c r="J18" s="5"/>
      <c r="K18" s="12"/>
      <c r="L18" s="130"/>
      <c r="M18" s="89">
        <v>0.0</v>
      </c>
      <c r="N18" s="91"/>
      <c r="R18" s="29">
        <v>0.0</v>
      </c>
      <c r="S18" s="29"/>
      <c r="T18" s="29"/>
      <c r="U18" s="37"/>
      <c r="V18" s="35"/>
      <c r="W18" s="13"/>
      <c r="X18" s="13"/>
    </row>
    <row r="19">
      <c r="A19" s="149">
        <v>12.0</v>
      </c>
      <c r="B19" s="155" t="s">
        <v>23</v>
      </c>
      <c r="C19" s="147" t="s">
        <v>103</v>
      </c>
      <c r="D19" s="5"/>
      <c r="E19" s="147" t="s">
        <v>103</v>
      </c>
      <c r="F19" s="5"/>
      <c r="G19" s="147" t="s">
        <v>103</v>
      </c>
      <c r="H19" s="5"/>
      <c r="I19" s="147" t="s">
        <v>103</v>
      </c>
      <c r="J19" s="5"/>
      <c r="K19" s="12"/>
      <c r="L19" s="91"/>
      <c r="M19" s="91"/>
      <c r="N19" s="91"/>
      <c r="R19" s="29"/>
      <c r="S19" s="29"/>
      <c r="T19" s="29"/>
      <c r="U19" s="37"/>
      <c r="V19" s="35"/>
      <c r="W19" s="13"/>
      <c r="X19" s="13"/>
    </row>
    <row r="20">
      <c r="A20" s="149">
        <v>13.0</v>
      </c>
      <c r="B20" s="158" t="s">
        <v>24</v>
      </c>
      <c r="C20" s="150">
        <v>0.34791666666666665</v>
      </c>
      <c r="D20" s="5"/>
      <c r="E20" s="150">
        <v>0.5479166666666667</v>
      </c>
      <c r="F20" s="5"/>
      <c r="G20" s="150">
        <v>0.5868055555555556</v>
      </c>
      <c r="H20" s="5"/>
      <c r="I20" s="150">
        <v>0.7451388888888889</v>
      </c>
      <c r="J20" s="5"/>
      <c r="K20" s="12"/>
      <c r="L20" s="90">
        <f t="shared" ref="L20:L24" si="7">(E20-C20)+(I20-G20)</f>
        <v>0.3583333333</v>
      </c>
      <c r="M20" s="92">
        <f t="shared" ref="M20:M24" si="8">IF((L20-$M$3)&gt;$M$4,L20-$M$3,0)</f>
        <v>0.025</v>
      </c>
      <c r="N20" s="91">
        <f t="shared" ref="N20:N24" si="9">+IF(($M$3-L20)&gt;$M$4,$M$3-L20,0)</f>
        <v>0</v>
      </c>
      <c r="R20" s="29">
        <v>6.0</v>
      </c>
      <c r="S20" s="29">
        <v>30.0</v>
      </c>
      <c r="T20" s="93" t="s">
        <v>27</v>
      </c>
      <c r="U20" s="94">
        <v>0.24305555555555555</v>
      </c>
      <c r="V20" s="93">
        <v>-13.0</v>
      </c>
      <c r="W20" s="13"/>
      <c r="X20" s="13"/>
    </row>
    <row r="21">
      <c r="A21" s="149">
        <v>14.0</v>
      </c>
      <c r="B21" s="159" t="s">
        <v>25</v>
      </c>
      <c r="C21" s="150">
        <v>0.3506944444444444</v>
      </c>
      <c r="D21" s="5"/>
      <c r="E21" s="151">
        <v>0.5423611111111111</v>
      </c>
      <c r="F21" s="5"/>
      <c r="G21" s="151">
        <v>0.5840277777777778</v>
      </c>
      <c r="H21" s="5"/>
      <c r="I21" s="150">
        <v>0.75</v>
      </c>
      <c r="J21" s="5"/>
      <c r="K21" s="46"/>
      <c r="L21" s="90">
        <f t="shared" si="7"/>
        <v>0.3576388889</v>
      </c>
      <c r="M21" s="92">
        <f t="shared" si="8"/>
        <v>0.02430555556</v>
      </c>
      <c r="N21" s="91">
        <f t="shared" si="9"/>
        <v>0</v>
      </c>
      <c r="R21" s="29">
        <v>0.0</v>
      </c>
      <c r="S21" s="29">
        <v>30.0</v>
      </c>
      <c r="T21" s="13"/>
      <c r="U21" s="13"/>
      <c r="V21" s="13"/>
      <c r="W21" s="13"/>
      <c r="X21" s="13"/>
    </row>
    <row r="22">
      <c r="A22" s="149">
        <v>15.0</v>
      </c>
      <c r="B22" s="155" t="s">
        <v>18</v>
      </c>
      <c r="C22" s="150">
        <v>0.3486111111111111</v>
      </c>
      <c r="D22" s="5"/>
      <c r="E22" s="151">
        <v>0.5430555555555555</v>
      </c>
      <c r="F22" s="5"/>
      <c r="G22" s="151">
        <v>0.5847222222222223</v>
      </c>
      <c r="H22" s="5"/>
      <c r="I22" s="150">
        <v>0.7465277777777778</v>
      </c>
      <c r="J22" s="5"/>
      <c r="K22" s="12"/>
      <c r="L22" s="90">
        <f t="shared" si="7"/>
        <v>0.35625</v>
      </c>
      <c r="M22" s="92">
        <f t="shared" si="8"/>
        <v>0.02291666667</v>
      </c>
      <c r="N22" s="91">
        <f t="shared" si="9"/>
        <v>0</v>
      </c>
      <c r="R22" s="96">
        <v>0.0</v>
      </c>
      <c r="S22" s="29">
        <v>30.0</v>
      </c>
      <c r="T22" s="29"/>
      <c r="U22" s="31"/>
      <c r="V22" s="35"/>
      <c r="W22" s="35"/>
      <c r="X22" s="13"/>
    </row>
    <row r="23">
      <c r="A23" s="149">
        <v>16.0</v>
      </c>
      <c r="B23" s="158" t="s">
        <v>19</v>
      </c>
      <c r="C23" s="150">
        <v>0.34375</v>
      </c>
      <c r="D23" s="5"/>
      <c r="E23" s="150">
        <v>0.5416666666666666</v>
      </c>
      <c r="F23" s="5"/>
      <c r="G23" s="150">
        <v>0.5819444444444445</v>
      </c>
      <c r="H23" s="5"/>
      <c r="I23" s="150">
        <v>0.7291666666666666</v>
      </c>
      <c r="J23" s="5"/>
      <c r="K23" s="12"/>
      <c r="L23" s="90">
        <f t="shared" si="7"/>
        <v>0.3451388889</v>
      </c>
      <c r="M23" s="92">
        <f t="shared" si="8"/>
        <v>0.01180555556</v>
      </c>
      <c r="N23" s="91">
        <f t="shared" si="9"/>
        <v>0</v>
      </c>
      <c r="R23" s="31">
        <v>-17.0</v>
      </c>
      <c r="S23" s="29"/>
      <c r="T23" s="93" t="s">
        <v>27</v>
      </c>
      <c r="U23" s="94">
        <v>0.2847222222222222</v>
      </c>
      <c r="V23" s="93">
        <v>-30.0</v>
      </c>
      <c r="W23" s="35"/>
      <c r="X23" s="13"/>
    </row>
    <row r="24">
      <c r="A24" s="149">
        <v>17.0</v>
      </c>
      <c r="B24" s="159" t="s">
        <v>20</v>
      </c>
      <c r="C24" s="150">
        <v>0.34444444444444444</v>
      </c>
      <c r="D24" s="5"/>
      <c r="E24" s="150">
        <v>0.5416666666666666</v>
      </c>
      <c r="F24" s="5"/>
      <c r="G24" s="150">
        <v>0.5909722222222222</v>
      </c>
      <c r="H24" s="5"/>
      <c r="I24" s="150">
        <v>0.7291666666666666</v>
      </c>
      <c r="J24" s="5"/>
      <c r="K24" s="12"/>
      <c r="L24" s="90">
        <f t="shared" si="7"/>
        <v>0.3354166667</v>
      </c>
      <c r="M24" s="91">
        <f t="shared" si="8"/>
        <v>0</v>
      </c>
      <c r="N24" s="91">
        <f t="shared" si="9"/>
        <v>0</v>
      </c>
      <c r="R24" s="29">
        <v>0.0</v>
      </c>
      <c r="S24" s="29"/>
      <c r="T24" s="29"/>
      <c r="U24" s="13"/>
      <c r="V24" s="35"/>
      <c r="W24" s="35"/>
      <c r="X24" s="29"/>
    </row>
    <row r="25">
      <c r="A25" s="149">
        <v>18.0</v>
      </c>
      <c r="B25" s="159" t="s">
        <v>21</v>
      </c>
      <c r="C25" s="147" t="s">
        <v>161</v>
      </c>
      <c r="D25" s="15"/>
      <c r="E25" s="15"/>
      <c r="F25" s="15"/>
      <c r="G25" s="15"/>
      <c r="H25" s="15"/>
      <c r="I25" s="15"/>
      <c r="J25" s="5"/>
      <c r="K25" s="38"/>
      <c r="L25" s="91"/>
      <c r="M25" s="89"/>
      <c r="N25" s="89" t="s">
        <v>162</v>
      </c>
      <c r="R25" s="29" t="s">
        <v>46</v>
      </c>
      <c r="S25" s="29"/>
      <c r="T25" s="29"/>
      <c r="U25" s="37"/>
      <c r="V25" s="35"/>
      <c r="W25" s="35"/>
      <c r="X25" s="13"/>
    </row>
    <row r="26">
      <c r="A26" s="149">
        <v>19.0</v>
      </c>
      <c r="B26" s="158" t="s">
        <v>23</v>
      </c>
      <c r="C26" s="147" t="s">
        <v>103</v>
      </c>
      <c r="D26" s="5"/>
      <c r="E26" s="147" t="s">
        <v>103</v>
      </c>
      <c r="F26" s="5"/>
      <c r="G26" s="147" t="s">
        <v>103</v>
      </c>
      <c r="H26" s="5"/>
      <c r="I26" s="147" t="s">
        <v>103</v>
      </c>
      <c r="J26" s="5"/>
      <c r="K26" s="40"/>
      <c r="L26" s="91"/>
      <c r="M26" s="91"/>
      <c r="N26" s="91"/>
      <c r="R26" s="29"/>
      <c r="S26" s="29"/>
      <c r="T26" s="29"/>
      <c r="U26" s="37"/>
      <c r="V26" s="35"/>
      <c r="W26" s="13"/>
      <c r="X26" s="13"/>
    </row>
    <row r="27">
      <c r="A27" s="149">
        <v>20.0</v>
      </c>
      <c r="B27" s="159" t="s">
        <v>24</v>
      </c>
      <c r="C27" s="150">
        <v>0.3458333333333333</v>
      </c>
      <c r="D27" s="5"/>
      <c r="E27" s="150">
        <v>0.5430555555555555</v>
      </c>
      <c r="F27" s="5"/>
      <c r="G27" s="150">
        <v>0.5826388888888889</v>
      </c>
      <c r="H27" s="5"/>
      <c r="I27" s="150">
        <v>0.75</v>
      </c>
      <c r="J27" s="5"/>
      <c r="K27" s="12"/>
      <c r="L27" s="90">
        <f t="shared" ref="L27:L28" si="10">(E27-C27)+(I27-G27)</f>
        <v>0.3645833333</v>
      </c>
      <c r="M27" s="92">
        <f t="shared" ref="M27:M28" si="11">IF((L27-$M$3)&gt;$M$4,L27-$M$3,0)</f>
        <v>0.03125</v>
      </c>
      <c r="N27" s="91">
        <f t="shared" ref="N27:N28" si="12">+IF(($M$3-L27)&gt;$M$4,$M$3-L27,0)</f>
        <v>0</v>
      </c>
      <c r="R27" s="29">
        <v>15.0</v>
      </c>
      <c r="S27" s="29">
        <v>30.0</v>
      </c>
      <c r="T27" s="97"/>
      <c r="U27" s="13"/>
      <c r="V27" s="13"/>
      <c r="W27" s="13"/>
      <c r="X27" s="29"/>
    </row>
    <row r="28">
      <c r="A28" s="149">
        <v>21.0</v>
      </c>
      <c r="B28" s="159" t="s">
        <v>58</v>
      </c>
      <c r="C28" s="152">
        <v>0.34791666666666665</v>
      </c>
      <c r="D28" s="5"/>
      <c r="E28" s="152">
        <v>0.5416666666666666</v>
      </c>
      <c r="F28" s="5"/>
      <c r="G28" s="152">
        <v>0.5840277777777778</v>
      </c>
      <c r="H28" s="5"/>
      <c r="I28" s="152">
        <v>0.7541666666666667</v>
      </c>
      <c r="J28" s="5"/>
      <c r="K28" s="12"/>
      <c r="L28" s="90">
        <f t="shared" si="10"/>
        <v>0.3638888889</v>
      </c>
      <c r="M28" s="92">
        <f t="shared" si="11"/>
        <v>0.03055555556</v>
      </c>
      <c r="N28" s="91">
        <f t="shared" si="12"/>
        <v>0</v>
      </c>
      <c r="P28" s="98" t="s">
        <v>82</v>
      </c>
      <c r="Q28" s="98"/>
      <c r="R28" s="29">
        <v>16.0</v>
      </c>
      <c r="S28" s="29">
        <v>30.0</v>
      </c>
      <c r="T28" s="93" t="s">
        <v>27</v>
      </c>
      <c r="U28" s="94">
        <v>0.30625</v>
      </c>
      <c r="V28" s="93" t="s">
        <v>47</v>
      </c>
      <c r="W28" s="13"/>
      <c r="X28" s="29">
        <v>7.54</v>
      </c>
    </row>
    <row r="29">
      <c r="A29" s="149">
        <v>22.0</v>
      </c>
      <c r="B29" s="158" t="s">
        <v>18</v>
      </c>
      <c r="C29" s="150">
        <v>0.3486111111111111</v>
      </c>
      <c r="D29" s="5"/>
      <c r="E29" s="150">
        <v>0.5</v>
      </c>
      <c r="F29" s="5"/>
      <c r="G29" s="150">
        <v>0.5416666666666666</v>
      </c>
      <c r="H29" s="5"/>
      <c r="I29" s="150">
        <v>0.7423611111111111</v>
      </c>
      <c r="J29" s="5"/>
      <c r="K29" s="12"/>
      <c r="L29" s="90">
        <v>0.35208333333333336</v>
      </c>
      <c r="M29" s="90">
        <v>0.01875</v>
      </c>
      <c r="N29" s="89">
        <v>0.0</v>
      </c>
      <c r="R29" s="29"/>
      <c r="S29" s="29"/>
      <c r="T29" s="13"/>
      <c r="U29" s="13"/>
      <c r="V29" s="13"/>
      <c r="W29" s="13"/>
      <c r="X29" s="13"/>
    </row>
    <row r="30">
      <c r="A30" s="149">
        <v>23.0</v>
      </c>
      <c r="B30" s="159" t="s">
        <v>19</v>
      </c>
      <c r="C30" s="151">
        <v>0.3472222222222222</v>
      </c>
      <c r="D30" s="5"/>
      <c r="E30" s="151">
        <v>0.5416666666666666</v>
      </c>
      <c r="F30" s="5"/>
      <c r="G30" s="151">
        <v>0.5826388888888889</v>
      </c>
      <c r="H30" s="5"/>
      <c r="I30" s="151">
        <v>0.7291666666666666</v>
      </c>
      <c r="J30" s="5"/>
      <c r="K30" s="12"/>
      <c r="L30" s="90">
        <v>0.34097222222222223</v>
      </c>
      <c r="M30" s="90">
        <v>0.007638888888888889</v>
      </c>
      <c r="N30" s="89">
        <v>0.0</v>
      </c>
      <c r="R30" s="29"/>
      <c r="S30" s="29"/>
      <c r="T30" s="29"/>
      <c r="U30" s="37"/>
      <c r="V30" s="29">
        <v>5.3</v>
      </c>
      <c r="W30" s="13"/>
      <c r="X30" s="13"/>
    </row>
    <row r="31">
      <c r="A31" s="149">
        <v>24.0</v>
      </c>
      <c r="B31" s="159" t="s">
        <v>20</v>
      </c>
      <c r="C31" s="150">
        <v>0.3472222222222222</v>
      </c>
      <c r="D31" s="5"/>
      <c r="E31" s="150">
        <v>0.5416666666666666</v>
      </c>
      <c r="F31" s="5"/>
      <c r="G31" s="150">
        <v>0.5833333333333334</v>
      </c>
      <c r="H31" s="5"/>
      <c r="I31" s="150">
        <v>0.7222222222222222</v>
      </c>
      <c r="J31" s="5"/>
      <c r="K31" s="12"/>
      <c r="L31" s="167">
        <v>0.3333333333333333</v>
      </c>
      <c r="M31" s="130">
        <v>0.0</v>
      </c>
      <c r="N31" s="186">
        <v>0.0</v>
      </c>
      <c r="P31" s="35"/>
      <c r="Q31" s="13"/>
      <c r="R31" s="13"/>
    </row>
    <row r="32">
      <c r="A32" s="149">
        <v>25.0</v>
      </c>
      <c r="B32" s="159" t="s">
        <v>21</v>
      </c>
      <c r="C32" s="41">
        <v>0.3277777777777778</v>
      </c>
      <c r="E32" s="150"/>
      <c r="F32" s="5"/>
      <c r="G32" s="150"/>
      <c r="H32" s="5"/>
      <c r="I32" s="150">
        <v>0.4986111111111111</v>
      </c>
      <c r="J32" s="5"/>
      <c r="K32" s="12"/>
      <c r="L32" s="130"/>
      <c r="M32" s="167">
        <v>0.004166666666666667</v>
      </c>
      <c r="N32" s="187"/>
      <c r="P32" s="35"/>
      <c r="Q32" s="29"/>
      <c r="R32" s="29"/>
    </row>
    <row r="33">
      <c r="A33" s="149">
        <v>26.0</v>
      </c>
      <c r="B33" s="158" t="s">
        <v>23</v>
      </c>
      <c r="C33" s="150"/>
      <c r="D33" s="5"/>
      <c r="E33" s="150"/>
      <c r="F33" s="5"/>
      <c r="G33" s="147"/>
      <c r="H33" s="5"/>
      <c r="I33" s="150"/>
      <c r="J33" s="5"/>
      <c r="K33" s="46"/>
      <c r="L33" s="130"/>
      <c r="M33" s="130"/>
      <c r="N33" s="131"/>
      <c r="P33" s="35"/>
      <c r="Q33" s="13"/>
      <c r="R33" s="13"/>
    </row>
    <row r="34">
      <c r="A34" s="149">
        <v>27.0</v>
      </c>
      <c r="B34" s="159" t="s">
        <v>24</v>
      </c>
      <c r="C34" s="147" t="s">
        <v>161</v>
      </c>
      <c r="D34" s="15"/>
      <c r="E34" s="15"/>
      <c r="F34" s="15"/>
      <c r="G34" s="15"/>
      <c r="H34" s="15"/>
      <c r="I34" s="15"/>
      <c r="J34" s="5"/>
      <c r="K34" s="46"/>
      <c r="L34" s="130"/>
      <c r="M34" s="187"/>
      <c r="N34" s="130" t="s">
        <v>163</v>
      </c>
      <c r="P34" s="13"/>
      <c r="Q34" s="13"/>
      <c r="R34" s="13"/>
    </row>
    <row r="35">
      <c r="A35" s="149">
        <v>28.0</v>
      </c>
      <c r="B35" s="159" t="s">
        <v>58</v>
      </c>
      <c r="C35" s="151">
        <v>0.34444444444444444</v>
      </c>
      <c r="D35" s="5"/>
      <c r="E35" s="151">
        <v>0.5430555555555555</v>
      </c>
      <c r="F35" s="5"/>
      <c r="G35" s="151">
        <v>0.5826388888888889</v>
      </c>
      <c r="H35" s="5"/>
      <c r="I35" s="151">
        <v>0.75</v>
      </c>
      <c r="J35" s="5"/>
      <c r="K35" s="46"/>
      <c r="L35" s="167">
        <v>0.3451388888888889</v>
      </c>
      <c r="M35" s="167">
        <v>0.011805555555555555</v>
      </c>
      <c r="N35" s="130">
        <v>0.0</v>
      </c>
      <c r="P35" s="35"/>
      <c r="Q35" s="13"/>
      <c r="R35" s="43"/>
      <c r="S35" s="101"/>
    </row>
    <row r="36">
      <c r="A36" s="149">
        <v>29.0</v>
      </c>
      <c r="B36" s="159" t="s">
        <v>18</v>
      </c>
      <c r="C36" s="151">
        <v>0.34444444444444444</v>
      </c>
      <c r="D36" s="5"/>
      <c r="E36" s="151">
        <v>0.49930555555555556</v>
      </c>
      <c r="F36" s="5"/>
      <c r="G36" s="151">
        <v>0.5402777777777777</v>
      </c>
      <c r="H36" s="5"/>
      <c r="I36" s="151">
        <v>0.74375</v>
      </c>
      <c r="J36" s="5"/>
      <c r="K36" s="12"/>
      <c r="L36" s="167">
        <v>0.35833333333333334</v>
      </c>
      <c r="M36" s="167">
        <v>0.025</v>
      </c>
      <c r="N36" s="131"/>
      <c r="P36" s="35"/>
      <c r="Q36" s="13"/>
      <c r="R36" s="29"/>
      <c r="S36" s="37"/>
    </row>
    <row r="37">
      <c r="A37" s="163">
        <v>30.0</v>
      </c>
      <c r="B37" s="159" t="s">
        <v>26</v>
      </c>
      <c r="C37" s="151">
        <v>0.3458333333333333</v>
      </c>
      <c r="D37" s="5"/>
      <c r="E37" s="151">
        <v>0.4951388888888889</v>
      </c>
      <c r="F37" s="5"/>
      <c r="G37" s="151">
        <v>0.5409722222222222</v>
      </c>
      <c r="H37" s="5"/>
      <c r="I37" s="151">
        <v>0.7291666666666666</v>
      </c>
      <c r="J37" s="5"/>
      <c r="K37" s="12"/>
      <c r="L37" s="167">
        <v>0.34305555555555556</v>
      </c>
      <c r="M37" s="167">
        <v>0.009722222222222222</v>
      </c>
      <c r="N37" s="131"/>
      <c r="P37" s="35"/>
      <c r="Q37" s="37"/>
      <c r="R37" s="35"/>
      <c r="S37" s="41"/>
    </row>
    <row r="38">
      <c r="A38" s="163">
        <v>31.0</v>
      </c>
      <c r="B38" s="159" t="s">
        <v>20</v>
      </c>
      <c r="C38" s="151">
        <v>0.34652777777777777</v>
      </c>
      <c r="D38" s="5"/>
      <c r="E38" s="151">
        <v>0.5409722222222222</v>
      </c>
      <c r="F38" s="5"/>
      <c r="G38" s="151">
        <v>0.5833333333333334</v>
      </c>
      <c r="H38" s="5"/>
      <c r="I38" s="151">
        <v>0.7291666666666666</v>
      </c>
      <c r="J38" s="5"/>
      <c r="K38" s="6"/>
      <c r="L38" s="167">
        <v>0.3416666666666667</v>
      </c>
      <c r="M38" s="167">
        <v>0.008333333333333333</v>
      </c>
      <c r="N38" s="167"/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5">
        <f>SUM(M8:M38)</f>
        <v>0.4333333333</v>
      </c>
      <c r="N39" s="82" t="s">
        <v>164</v>
      </c>
      <c r="P39" s="13"/>
      <c r="Q39" s="13">
        <f>24-8</f>
        <v>16</v>
      </c>
      <c r="R39" s="13"/>
    </row>
    <row r="40">
      <c r="A40" s="107" t="s">
        <v>165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  <c r="L40" s="29"/>
      <c r="M40" s="13"/>
      <c r="N40" s="29"/>
      <c r="O40" s="13"/>
      <c r="P40" s="29"/>
      <c r="Q40" s="13"/>
    </row>
    <row r="41">
      <c r="A41" s="107" t="s">
        <v>166</v>
      </c>
      <c r="B41" s="108"/>
      <c r="C41" s="108"/>
      <c r="D41" s="108"/>
      <c r="E41" s="108"/>
      <c r="F41" s="108"/>
      <c r="G41" s="15"/>
      <c r="H41" s="108"/>
      <c r="I41" s="108"/>
      <c r="J41" s="109"/>
      <c r="K41" s="12"/>
      <c r="L41" s="13"/>
      <c r="M41" s="13"/>
      <c r="N41" s="35"/>
      <c r="O41" s="13"/>
      <c r="P41" s="35"/>
      <c r="Q41" s="29"/>
    </row>
    <row r="42">
      <c r="A42" s="107" t="s">
        <v>167</v>
      </c>
      <c r="B42" s="15"/>
      <c r="C42" s="15"/>
      <c r="D42" s="15"/>
      <c r="E42" s="15"/>
      <c r="F42" s="15"/>
      <c r="G42" s="15"/>
      <c r="H42" s="15"/>
      <c r="I42" s="15"/>
      <c r="J42" s="5"/>
      <c r="K42" s="6"/>
      <c r="L42" s="13"/>
      <c r="M42" s="13"/>
      <c r="N42" s="13"/>
      <c r="O42" s="29"/>
      <c r="P42" s="13"/>
      <c r="Q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L43" s="13"/>
      <c r="M43" s="13"/>
      <c r="N43" s="29"/>
      <c r="O43" s="13"/>
      <c r="P43" s="13"/>
      <c r="Q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35"/>
      <c r="O44" s="35"/>
      <c r="P44" s="13"/>
      <c r="Q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L45" s="13"/>
      <c r="M45" s="13"/>
      <c r="N45" s="13"/>
      <c r="O45" s="13"/>
      <c r="P45" s="13"/>
      <c r="Q45" s="13"/>
    </row>
    <row r="46">
      <c r="L46" s="13"/>
      <c r="M46" s="13"/>
      <c r="N46" s="13"/>
      <c r="O46" s="13"/>
      <c r="P46" s="13"/>
      <c r="Q46" s="13"/>
    </row>
    <row r="47">
      <c r="L47" s="13"/>
      <c r="M47" s="13"/>
      <c r="N47" s="13"/>
      <c r="O47" s="13"/>
      <c r="P47" s="13"/>
      <c r="Q47" s="13"/>
    </row>
    <row r="48">
      <c r="C48" s="41"/>
      <c r="L48" s="13"/>
      <c r="M48" s="13"/>
      <c r="N48" s="13"/>
      <c r="O48" s="13"/>
      <c r="P48" s="13"/>
      <c r="Q48" s="13"/>
    </row>
  </sheetData>
  <mergeCells count="141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C25:J25"/>
    <mergeCell ref="C26:D26"/>
    <mergeCell ref="E26:F26"/>
    <mergeCell ref="C27:D27"/>
    <mergeCell ref="E27:F27"/>
    <mergeCell ref="G27:H27"/>
    <mergeCell ref="I27:J27"/>
    <mergeCell ref="E28:F28"/>
    <mergeCell ref="G28:H28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G35:H35"/>
    <mergeCell ref="I35:J35"/>
    <mergeCell ref="C33:D33"/>
    <mergeCell ref="E33:F33"/>
    <mergeCell ref="G33:H33"/>
    <mergeCell ref="I33:J33"/>
    <mergeCell ref="C34:J34"/>
    <mergeCell ref="C35:D35"/>
    <mergeCell ref="E35:F35"/>
    <mergeCell ref="C36:D36"/>
    <mergeCell ref="E36:F36"/>
    <mergeCell ref="G36:H36"/>
    <mergeCell ref="I36:J36"/>
    <mergeCell ref="E37:F37"/>
    <mergeCell ref="G37:H37"/>
    <mergeCell ref="I37:J37"/>
    <mergeCell ref="F40:G40"/>
    <mergeCell ref="F41:G41"/>
    <mergeCell ref="F43:G43"/>
    <mergeCell ref="D44:E44"/>
    <mergeCell ref="F44:G44"/>
    <mergeCell ref="D45:E45"/>
    <mergeCell ref="F45:G45"/>
    <mergeCell ref="C37:D37"/>
    <mergeCell ref="C38:D38"/>
    <mergeCell ref="E38:F38"/>
    <mergeCell ref="G38:H38"/>
    <mergeCell ref="I38:J38"/>
    <mergeCell ref="A39:J39"/>
    <mergeCell ref="D40:E40"/>
    <mergeCell ref="A42:J42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6:H26"/>
    <mergeCell ref="I26:J26"/>
    <mergeCell ref="C31:D31"/>
    <mergeCell ref="E31:F31"/>
    <mergeCell ref="G31:H31"/>
    <mergeCell ref="I31:J31"/>
    <mergeCell ref="E32:F32"/>
    <mergeCell ref="G32:H32"/>
    <mergeCell ref="I32:J32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  <c r="L5" s="13"/>
      <c r="M5" s="13"/>
      <c r="N5" s="13"/>
    </row>
    <row r="6">
      <c r="A6" s="66" t="s">
        <v>10</v>
      </c>
      <c r="B6" s="123" t="s">
        <v>158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</row>
    <row r="8">
      <c r="A8" s="148">
        <v>1.0</v>
      </c>
      <c r="B8" s="155" t="s">
        <v>18</v>
      </c>
      <c r="C8" s="151">
        <v>0.3506944444444444</v>
      </c>
      <c r="D8" s="5"/>
      <c r="E8" s="151">
        <v>0.5</v>
      </c>
      <c r="F8" s="5"/>
      <c r="G8" s="151">
        <v>0.5423611111111111</v>
      </c>
      <c r="H8" s="5"/>
      <c r="I8" s="151">
        <v>0.7472222222222222</v>
      </c>
      <c r="J8" s="5"/>
      <c r="K8" s="6"/>
      <c r="L8" s="90">
        <f t="shared" ref="L8:L10" si="1">(E8-C8)+(I8-G8)</f>
        <v>0.3541666667</v>
      </c>
      <c r="M8" s="92">
        <f t="shared" ref="M8:M10" si="2">IF((L8-$M$3)&gt;$M$4,L8-$M$3,0)</f>
        <v>0.02083333333</v>
      </c>
      <c r="N8" s="91">
        <f t="shared" ref="N8:N10" si="3">+IF(($M$3-L8)&gt;$M$4,$M$3-L8,0)</f>
        <v>0</v>
      </c>
      <c r="S8" s="13"/>
      <c r="T8" s="29">
        <v>0.0</v>
      </c>
      <c r="U8" s="29">
        <v>30.0</v>
      </c>
      <c r="V8" s="13"/>
      <c r="W8" s="13"/>
      <c r="X8" s="13"/>
      <c r="Y8" s="13"/>
      <c r="Z8" s="13"/>
    </row>
    <row r="9">
      <c r="A9" s="149">
        <v>2.0</v>
      </c>
      <c r="B9" s="158" t="s">
        <v>19</v>
      </c>
      <c r="C9" s="151">
        <v>0.34930555555555554</v>
      </c>
      <c r="D9" s="5"/>
      <c r="E9" s="151">
        <v>0.5</v>
      </c>
      <c r="F9" s="5"/>
      <c r="G9" s="151">
        <v>0.5423611111111111</v>
      </c>
      <c r="H9" s="5"/>
      <c r="I9" s="151">
        <v>0.7472222222222222</v>
      </c>
      <c r="J9" s="5"/>
      <c r="K9" s="6"/>
      <c r="L9" s="90">
        <f t="shared" si="1"/>
        <v>0.3555555556</v>
      </c>
      <c r="M9" s="92">
        <f t="shared" si="2"/>
        <v>0.02222222222</v>
      </c>
      <c r="N9" s="91">
        <f t="shared" si="3"/>
        <v>0</v>
      </c>
      <c r="S9" s="13"/>
      <c r="T9" s="29">
        <v>0.0</v>
      </c>
      <c r="U9" s="29">
        <v>30.0</v>
      </c>
      <c r="V9" s="13"/>
      <c r="W9" s="13"/>
      <c r="X9" s="13"/>
      <c r="Y9" s="13"/>
      <c r="Z9" s="13"/>
    </row>
    <row r="10">
      <c r="A10" s="149">
        <v>3.0</v>
      </c>
      <c r="B10" s="155" t="s">
        <v>20</v>
      </c>
      <c r="C10" s="150">
        <v>0.3472222222222222</v>
      </c>
      <c r="D10" s="5"/>
      <c r="E10" s="150">
        <v>0.5</v>
      </c>
      <c r="F10" s="5"/>
      <c r="G10" s="150">
        <v>0.54375</v>
      </c>
      <c r="H10" s="5"/>
      <c r="I10" s="150">
        <v>0.7465277777777778</v>
      </c>
      <c r="J10" s="5"/>
      <c r="K10" s="6"/>
      <c r="L10" s="90">
        <f t="shared" si="1"/>
        <v>0.3555555556</v>
      </c>
      <c r="M10" s="92">
        <f t="shared" si="2"/>
        <v>0.02222222222</v>
      </c>
      <c r="N10" s="91">
        <f t="shared" si="3"/>
        <v>0</v>
      </c>
      <c r="S10" s="13"/>
      <c r="T10" s="29">
        <v>0.0</v>
      </c>
      <c r="U10" s="29">
        <v>30.0</v>
      </c>
      <c r="V10" s="13"/>
      <c r="W10" s="13"/>
      <c r="X10" s="13"/>
      <c r="Y10" s="13"/>
      <c r="Z10" s="13"/>
    </row>
    <row r="11">
      <c r="A11" s="149">
        <v>4.0</v>
      </c>
      <c r="B11" s="155" t="s">
        <v>21</v>
      </c>
      <c r="C11" s="150">
        <v>0.32708333333333334</v>
      </c>
      <c r="D11" s="5"/>
      <c r="E11" s="147" t="s">
        <v>103</v>
      </c>
      <c r="F11" s="5"/>
      <c r="G11" s="147" t="s">
        <v>103</v>
      </c>
      <c r="H11" s="5"/>
      <c r="I11" s="150">
        <v>0.5006944444444444</v>
      </c>
      <c r="J11" s="5"/>
      <c r="K11" s="6"/>
      <c r="L11" s="89"/>
      <c r="M11" s="90">
        <v>0.00625</v>
      </c>
      <c r="N11" s="91"/>
      <c r="S11" s="13"/>
      <c r="T11" s="29">
        <v>9.0</v>
      </c>
      <c r="U11" s="29"/>
      <c r="V11" s="13"/>
      <c r="W11" s="13"/>
      <c r="X11" s="13"/>
      <c r="Y11" s="13"/>
      <c r="Z11" s="13"/>
    </row>
    <row r="12">
      <c r="A12" s="149">
        <v>5.0</v>
      </c>
      <c r="B12" s="155" t="s">
        <v>23</v>
      </c>
      <c r="C12" s="147" t="s">
        <v>103</v>
      </c>
      <c r="D12" s="5"/>
      <c r="E12" s="147" t="s">
        <v>103</v>
      </c>
      <c r="F12" s="5"/>
      <c r="G12" s="147" t="s">
        <v>103</v>
      </c>
      <c r="H12" s="5"/>
      <c r="I12" s="147" t="s">
        <v>103</v>
      </c>
      <c r="J12" s="5"/>
      <c r="K12" s="6"/>
      <c r="L12" s="130"/>
      <c r="M12" s="91"/>
      <c r="N12" s="91"/>
      <c r="S12" s="13"/>
      <c r="T12" s="29"/>
      <c r="U12" s="29"/>
      <c r="V12" s="13"/>
      <c r="W12" s="13"/>
      <c r="X12" s="13"/>
      <c r="Y12" s="13"/>
      <c r="Z12" s="13"/>
    </row>
    <row r="13">
      <c r="A13" s="149">
        <v>6.0</v>
      </c>
      <c r="B13" s="158" t="s">
        <v>24</v>
      </c>
      <c r="C13" s="150">
        <v>0.3486111111111111</v>
      </c>
      <c r="D13" s="5"/>
      <c r="E13" s="150">
        <v>0.5</v>
      </c>
      <c r="F13" s="5"/>
      <c r="G13" s="150">
        <v>0.5416666666666666</v>
      </c>
      <c r="H13" s="5"/>
      <c r="I13" s="150">
        <v>0.7458333333333333</v>
      </c>
      <c r="J13" s="5"/>
      <c r="K13" s="6"/>
      <c r="L13" s="90">
        <f t="shared" ref="L13:L17" si="4">(E13-C13)+(I13-G13)</f>
        <v>0.3555555556</v>
      </c>
      <c r="M13" s="92">
        <f t="shared" ref="M13:M17" si="5">IF((L13-$M$3)&gt;$M$4,L13-$M$3,0)</f>
        <v>0.02222222222</v>
      </c>
      <c r="N13" s="91">
        <f t="shared" ref="N13:N17" si="6">+IF(($M$3-L13)&gt;$M$4,$M$3-L13,0)</f>
        <v>0</v>
      </c>
      <c r="S13" s="29"/>
      <c r="T13" s="29">
        <v>0.0</v>
      </c>
      <c r="U13" s="29">
        <v>30.0</v>
      </c>
      <c r="V13" s="29"/>
      <c r="W13" s="37"/>
      <c r="X13" s="35"/>
      <c r="Y13" s="13"/>
      <c r="Z13" s="13"/>
    </row>
    <row r="14">
      <c r="A14" s="149">
        <v>7.0</v>
      </c>
      <c r="B14" s="159" t="s">
        <v>58</v>
      </c>
      <c r="C14" s="150">
        <v>0.34791666666666665</v>
      </c>
      <c r="D14" s="5"/>
      <c r="E14" s="150">
        <v>0.5</v>
      </c>
      <c r="F14" s="5"/>
      <c r="G14" s="150">
        <v>0.5416666666666666</v>
      </c>
      <c r="H14" s="5"/>
      <c r="I14" s="150">
        <v>0.7465277777777778</v>
      </c>
      <c r="J14" s="5"/>
      <c r="K14" s="6"/>
      <c r="L14" s="90">
        <f t="shared" si="4"/>
        <v>0.3569444444</v>
      </c>
      <c r="M14" s="92">
        <f t="shared" si="5"/>
        <v>0.02361111111</v>
      </c>
      <c r="N14" s="91">
        <f t="shared" si="6"/>
        <v>0</v>
      </c>
      <c r="S14" s="13"/>
      <c r="T14" s="29">
        <v>0.0</v>
      </c>
      <c r="U14" s="29">
        <v>30.0</v>
      </c>
      <c r="V14" s="93" t="s">
        <v>27</v>
      </c>
      <c r="W14" s="94">
        <v>0.11041666666666666</v>
      </c>
      <c r="X14" s="95"/>
      <c r="Y14" s="95"/>
      <c r="Z14" s="13"/>
    </row>
    <row r="15">
      <c r="A15" s="149">
        <v>8.0</v>
      </c>
      <c r="B15" s="155" t="s">
        <v>18</v>
      </c>
      <c r="C15" s="150">
        <v>0.3486111111111111</v>
      </c>
      <c r="D15" s="5"/>
      <c r="E15" s="151">
        <v>0.5</v>
      </c>
      <c r="F15" s="5"/>
      <c r="G15" s="151">
        <v>0.5430555555555555</v>
      </c>
      <c r="H15" s="5"/>
      <c r="I15" s="151">
        <v>0.75</v>
      </c>
      <c r="J15" s="5"/>
      <c r="K15" s="6"/>
      <c r="L15" s="90">
        <f t="shared" si="4"/>
        <v>0.3583333333</v>
      </c>
      <c r="M15" s="92">
        <f t="shared" si="5"/>
        <v>0.025</v>
      </c>
      <c r="N15" s="91">
        <f t="shared" si="6"/>
        <v>0</v>
      </c>
      <c r="S15" s="29"/>
      <c r="T15" s="29">
        <v>10.0</v>
      </c>
      <c r="U15" s="29">
        <v>30.0</v>
      </c>
      <c r="V15" s="29"/>
      <c r="W15" s="37"/>
      <c r="X15" s="35"/>
      <c r="Y15" s="13"/>
      <c r="Z15" s="13"/>
    </row>
    <row r="16">
      <c r="A16" s="149">
        <v>9.0</v>
      </c>
      <c r="B16" s="158" t="s">
        <v>19</v>
      </c>
      <c r="C16" s="150">
        <v>0.34791666666666665</v>
      </c>
      <c r="D16" s="5"/>
      <c r="E16" s="150">
        <v>0.5</v>
      </c>
      <c r="F16" s="5"/>
      <c r="G16" s="150">
        <v>0.5416666666666666</v>
      </c>
      <c r="H16" s="5"/>
      <c r="I16" s="150">
        <v>0.75</v>
      </c>
      <c r="J16" s="5"/>
      <c r="K16" s="6"/>
      <c r="L16" s="90">
        <f t="shared" si="4"/>
        <v>0.3604166667</v>
      </c>
      <c r="M16" s="92">
        <f t="shared" si="5"/>
        <v>0.02708333333</v>
      </c>
      <c r="N16" s="91">
        <f t="shared" si="6"/>
        <v>0</v>
      </c>
      <c r="S16" s="13"/>
      <c r="T16" s="29">
        <v>9.0</v>
      </c>
      <c r="U16" s="29">
        <v>30.0</v>
      </c>
      <c r="V16" s="13"/>
      <c r="W16" s="13"/>
      <c r="X16" s="13"/>
      <c r="Y16" s="13"/>
      <c r="Z16" s="13"/>
    </row>
    <row r="17">
      <c r="A17" s="149">
        <v>10.0</v>
      </c>
      <c r="B17" s="159" t="s">
        <v>20</v>
      </c>
      <c r="C17" s="150">
        <v>0.30625</v>
      </c>
      <c r="D17" s="5"/>
      <c r="E17" s="150">
        <v>0.5</v>
      </c>
      <c r="F17" s="5"/>
      <c r="G17" s="150">
        <v>0.5416666666666666</v>
      </c>
      <c r="H17" s="5"/>
      <c r="I17" s="150">
        <v>0.7486111111111111</v>
      </c>
      <c r="J17" s="5"/>
      <c r="K17" s="6"/>
      <c r="L17" s="90">
        <f t="shared" si="4"/>
        <v>0.4006944444</v>
      </c>
      <c r="M17" s="92">
        <f t="shared" si="5"/>
        <v>0.06736111111</v>
      </c>
      <c r="N17" s="91">
        <f t="shared" si="6"/>
        <v>0</v>
      </c>
      <c r="S17" s="13"/>
      <c r="T17" s="35">
        <v>0.04652777777777778</v>
      </c>
      <c r="U17" s="29">
        <v>30.0</v>
      </c>
      <c r="V17" s="13"/>
      <c r="W17" s="13"/>
      <c r="X17" s="13"/>
      <c r="Y17" s="13"/>
      <c r="Z17" s="13"/>
    </row>
    <row r="18">
      <c r="A18" s="149">
        <v>11.0</v>
      </c>
      <c r="B18" s="159" t="s">
        <v>21</v>
      </c>
      <c r="C18" s="150">
        <v>0.33125</v>
      </c>
      <c r="D18" s="5"/>
      <c r="E18" s="147" t="s">
        <v>103</v>
      </c>
      <c r="F18" s="5"/>
      <c r="G18" s="147" t="s">
        <v>103</v>
      </c>
      <c r="H18" s="5"/>
      <c r="I18" s="150">
        <v>0.49166666666666664</v>
      </c>
      <c r="J18" s="5"/>
      <c r="K18" s="6"/>
      <c r="L18" s="130"/>
      <c r="M18" s="89"/>
      <c r="N18" s="89">
        <v>-9.0</v>
      </c>
      <c r="S18" s="13"/>
      <c r="T18" s="29"/>
      <c r="U18" s="29"/>
      <c r="V18" s="29"/>
      <c r="W18" s="37"/>
      <c r="X18" s="35"/>
      <c r="Y18" s="13"/>
      <c r="Z18" s="13"/>
    </row>
    <row r="19">
      <c r="A19" s="149">
        <v>12.0</v>
      </c>
      <c r="B19" s="155" t="s">
        <v>23</v>
      </c>
      <c r="C19" s="147" t="s">
        <v>103</v>
      </c>
      <c r="D19" s="5"/>
      <c r="E19" s="147" t="s">
        <v>103</v>
      </c>
      <c r="F19" s="5"/>
      <c r="G19" s="147" t="s">
        <v>103</v>
      </c>
      <c r="H19" s="5"/>
      <c r="I19" s="147" t="s">
        <v>103</v>
      </c>
      <c r="J19" s="5"/>
      <c r="K19" s="6"/>
      <c r="L19" s="91"/>
      <c r="M19" s="91"/>
      <c r="N19" s="91"/>
      <c r="S19" s="13"/>
      <c r="T19" s="29"/>
      <c r="U19" s="29"/>
      <c r="V19" s="29"/>
      <c r="W19" s="37"/>
      <c r="X19" s="35"/>
      <c r="Y19" s="13"/>
      <c r="Z19" s="13"/>
    </row>
    <row r="20">
      <c r="A20" s="149">
        <v>13.0</v>
      </c>
      <c r="B20" s="158" t="s">
        <v>24</v>
      </c>
      <c r="C20" s="150">
        <v>0.3486111111111111</v>
      </c>
      <c r="D20" s="5"/>
      <c r="E20" s="150">
        <v>0.50625</v>
      </c>
      <c r="F20" s="5"/>
      <c r="G20" s="150">
        <v>0.5465277777777777</v>
      </c>
      <c r="H20" s="5"/>
      <c r="I20" s="150">
        <v>0.7465277777777778</v>
      </c>
      <c r="J20" s="5"/>
      <c r="K20" s="6"/>
      <c r="L20" s="90">
        <f t="shared" ref="L20:L21" si="7">(E20-C20)+(I20-G20)</f>
        <v>0.3576388889</v>
      </c>
      <c r="M20" s="92">
        <f t="shared" ref="M20:M21" si="8">IF((L20-$M$3)&gt;$M$4,L20-$M$3,0)</f>
        <v>0.02430555556</v>
      </c>
      <c r="N20" s="91">
        <f t="shared" ref="N20:N21" si="9">+IF(($M$3-L20)&gt;$M$4,$M$3-L20,0)</f>
        <v>0</v>
      </c>
      <c r="S20" s="13"/>
      <c r="T20" s="29">
        <v>0.0</v>
      </c>
      <c r="U20" s="29">
        <v>30.0</v>
      </c>
      <c r="V20" s="93" t="s">
        <v>27</v>
      </c>
      <c r="W20" s="94">
        <v>0.2534722222222222</v>
      </c>
      <c r="X20" s="95"/>
      <c r="Y20" s="95"/>
      <c r="Z20" s="13"/>
    </row>
    <row r="21">
      <c r="A21" s="149">
        <v>14.0</v>
      </c>
      <c r="B21" s="159" t="s">
        <v>25</v>
      </c>
      <c r="C21" s="150">
        <v>0.3506944444444444</v>
      </c>
      <c r="D21" s="5"/>
      <c r="E21" s="150">
        <v>0.5013888888888889</v>
      </c>
      <c r="F21" s="5"/>
      <c r="G21" s="150">
        <v>0.5409722222222222</v>
      </c>
      <c r="H21" s="5"/>
      <c r="I21" s="150">
        <v>0.7465277777777778</v>
      </c>
      <c r="J21" s="5"/>
      <c r="K21" s="6"/>
      <c r="L21" s="90">
        <f t="shared" si="7"/>
        <v>0.35625</v>
      </c>
      <c r="M21" s="92">
        <f t="shared" si="8"/>
        <v>0.02291666667</v>
      </c>
      <c r="N21" s="91">
        <f t="shared" si="9"/>
        <v>0</v>
      </c>
      <c r="S21" s="29"/>
      <c r="T21" s="96">
        <v>0.0</v>
      </c>
      <c r="U21" s="29">
        <v>30.0</v>
      </c>
      <c r="V21" s="29"/>
      <c r="W21" s="37"/>
      <c r="X21" s="35"/>
      <c r="Y21" s="13"/>
      <c r="Z21" s="13"/>
    </row>
    <row r="22">
      <c r="A22" s="149">
        <v>15.0</v>
      </c>
      <c r="B22" s="155" t="s">
        <v>18</v>
      </c>
      <c r="C22" s="150">
        <v>0.3458333333333333</v>
      </c>
      <c r="D22" s="5"/>
      <c r="E22" s="151">
        <v>0.40555555555555556</v>
      </c>
      <c r="F22" s="5"/>
      <c r="G22" s="181"/>
      <c r="H22" s="5"/>
      <c r="I22" s="147" t="s">
        <v>67</v>
      </c>
      <c r="J22" s="5"/>
      <c r="K22" s="124"/>
      <c r="L22" s="89"/>
      <c r="M22" s="91"/>
      <c r="N22" s="91"/>
      <c r="S22" s="29"/>
      <c r="T22" s="29"/>
      <c r="U22" s="29"/>
      <c r="V22" s="29"/>
      <c r="W22" s="31"/>
      <c r="X22" s="35"/>
      <c r="Y22" s="13"/>
      <c r="Z22" s="13"/>
    </row>
    <row r="23">
      <c r="A23" s="149">
        <v>16.0</v>
      </c>
      <c r="B23" s="158" t="s">
        <v>19</v>
      </c>
      <c r="C23" s="152">
        <v>0.34375</v>
      </c>
      <c r="D23" s="5"/>
      <c r="E23" s="152">
        <v>0.5</v>
      </c>
      <c r="F23" s="5"/>
      <c r="G23" s="152">
        <v>0.5416666666666666</v>
      </c>
      <c r="H23" s="5"/>
      <c r="I23" s="152">
        <v>0.75</v>
      </c>
      <c r="J23" s="5"/>
      <c r="K23" s="6"/>
      <c r="L23" s="90">
        <f t="shared" ref="L23:L24" si="10">(E23-C23)+(I23-G23)</f>
        <v>0.3645833333</v>
      </c>
      <c r="M23" s="92">
        <f t="shared" ref="M23:M24" si="11">IF((L23-$M$3)&gt;$M$4,L23-$M$3,0)</f>
        <v>0.03125</v>
      </c>
      <c r="N23" s="91">
        <f t="shared" ref="N23:N24" si="12">+IF(($M$3-L23)&gt;$M$4,$M$3-L23,0)</f>
        <v>0</v>
      </c>
      <c r="S23" s="13"/>
      <c r="T23" s="29">
        <v>0.0</v>
      </c>
      <c r="U23" s="29">
        <v>30.0</v>
      </c>
      <c r="V23" s="93" t="s">
        <v>27</v>
      </c>
      <c r="W23" s="94">
        <v>0.2951388888888889</v>
      </c>
      <c r="X23" s="95"/>
      <c r="Y23" s="95"/>
      <c r="Z23" s="13"/>
    </row>
    <row r="24">
      <c r="A24" s="149">
        <v>17.0</v>
      </c>
      <c r="B24" s="159" t="s">
        <v>20</v>
      </c>
      <c r="C24" s="150">
        <v>0.34375</v>
      </c>
      <c r="D24" s="5"/>
      <c r="E24" s="150">
        <v>0.5</v>
      </c>
      <c r="F24" s="5"/>
      <c r="G24" s="150">
        <v>0.5416666666666666</v>
      </c>
      <c r="H24" s="5"/>
      <c r="I24" s="150">
        <v>0.7486111111111111</v>
      </c>
      <c r="J24" s="5"/>
      <c r="K24" s="6"/>
      <c r="L24" s="90">
        <f t="shared" si="10"/>
        <v>0.3631944444</v>
      </c>
      <c r="M24" s="92">
        <f t="shared" si="11"/>
        <v>0.02986111111</v>
      </c>
      <c r="N24" s="91">
        <f t="shared" si="12"/>
        <v>0</v>
      </c>
      <c r="S24" s="13"/>
      <c r="T24" s="29">
        <v>7.0</v>
      </c>
      <c r="U24" s="29">
        <v>30.0</v>
      </c>
      <c r="V24" s="29"/>
      <c r="W24" s="29"/>
      <c r="X24" s="35"/>
      <c r="Y24" s="13"/>
      <c r="Z24" s="13"/>
    </row>
    <row r="25">
      <c r="A25" s="149">
        <v>18.0</v>
      </c>
      <c r="B25" s="159" t="s">
        <v>21</v>
      </c>
      <c r="C25" s="150">
        <v>0.33125</v>
      </c>
      <c r="D25" s="5"/>
      <c r="E25" s="150"/>
      <c r="F25" s="5"/>
      <c r="G25" s="150"/>
      <c r="H25" s="5"/>
      <c r="I25" s="150">
        <v>0.4930555555555556</v>
      </c>
      <c r="J25" s="5"/>
      <c r="K25" s="6"/>
      <c r="L25" s="91"/>
      <c r="M25" s="89"/>
      <c r="N25" s="89">
        <v>-7.0</v>
      </c>
      <c r="S25" s="13"/>
      <c r="T25" s="29">
        <v>-7.0</v>
      </c>
      <c r="U25" s="29"/>
      <c r="V25" s="13"/>
      <c r="W25" s="13"/>
      <c r="X25" s="13"/>
      <c r="Y25" s="13"/>
      <c r="Z25" s="13"/>
    </row>
    <row r="26">
      <c r="A26" s="149">
        <v>19.0</v>
      </c>
      <c r="B26" s="158" t="s">
        <v>23</v>
      </c>
      <c r="C26" s="150"/>
      <c r="D26" s="5"/>
      <c r="E26" s="150"/>
      <c r="F26" s="5"/>
      <c r="G26" s="150"/>
      <c r="H26" s="5"/>
      <c r="I26" s="150"/>
      <c r="J26" s="5"/>
      <c r="K26" s="127"/>
      <c r="L26" s="91"/>
      <c r="M26" s="91"/>
      <c r="N26" s="91"/>
      <c r="S26" s="29"/>
      <c r="T26" s="29"/>
      <c r="U26" s="29"/>
      <c r="V26" s="29"/>
      <c r="W26" s="37"/>
      <c r="X26" s="35"/>
      <c r="Y26" s="13"/>
      <c r="Z26" s="13"/>
    </row>
    <row r="27">
      <c r="A27" s="149">
        <v>20.0</v>
      </c>
      <c r="B27" s="159" t="s">
        <v>24</v>
      </c>
      <c r="C27" s="150">
        <v>0.34652777777777777</v>
      </c>
      <c r="D27" s="5"/>
      <c r="E27" s="150">
        <v>0.5</v>
      </c>
      <c r="F27" s="5"/>
      <c r="G27" s="150">
        <v>0.5416666666666666</v>
      </c>
      <c r="H27" s="5"/>
      <c r="I27" s="150">
        <v>0.75</v>
      </c>
      <c r="J27" s="5"/>
      <c r="K27" s="6"/>
      <c r="L27" s="90">
        <f t="shared" ref="L27:L28" si="13">(E27-C27)+(I27-G27)</f>
        <v>0.3618055556</v>
      </c>
      <c r="M27" s="92">
        <f t="shared" ref="M27:M28" si="14">IF((L27-$M$3)&gt;$M$4,L27-$M$3,0)</f>
        <v>0.02847222222</v>
      </c>
      <c r="N27" s="91">
        <f t="shared" ref="N27:N28" si="15">+IF(($M$3-L27)&gt;$M$4,$M$3-L27,0)</f>
        <v>0</v>
      </c>
      <c r="S27" s="13"/>
      <c r="T27" s="29">
        <v>11.0</v>
      </c>
      <c r="U27" s="29">
        <v>30.0</v>
      </c>
      <c r="V27" s="13"/>
      <c r="W27" s="13"/>
      <c r="X27" s="13"/>
      <c r="Y27" s="13"/>
      <c r="Z27" s="13"/>
    </row>
    <row r="28">
      <c r="A28" s="149">
        <v>21.0</v>
      </c>
      <c r="B28" s="159" t="s">
        <v>58</v>
      </c>
      <c r="C28" s="150">
        <v>0.34791666666666665</v>
      </c>
      <c r="D28" s="5"/>
      <c r="E28" s="150">
        <v>0.5</v>
      </c>
      <c r="F28" s="5"/>
      <c r="G28" s="150">
        <v>0.5416666666666666</v>
      </c>
      <c r="H28" s="5"/>
      <c r="I28" s="150">
        <v>0.7541666666666667</v>
      </c>
      <c r="J28" s="5"/>
      <c r="K28" s="6"/>
      <c r="L28" s="90">
        <f t="shared" si="13"/>
        <v>0.3645833333</v>
      </c>
      <c r="M28" s="92">
        <f t="shared" si="14"/>
        <v>0.03125</v>
      </c>
      <c r="N28" s="91">
        <f t="shared" si="15"/>
        <v>0</v>
      </c>
      <c r="P28" s="98" t="s">
        <v>82</v>
      </c>
      <c r="S28" s="13"/>
      <c r="T28" s="29">
        <v>15.0</v>
      </c>
      <c r="U28" s="39">
        <v>30.0</v>
      </c>
      <c r="V28" s="93" t="s">
        <v>27</v>
      </c>
      <c r="W28" s="94">
        <v>0.38055555555555554</v>
      </c>
      <c r="X28" s="93" t="s">
        <v>70</v>
      </c>
      <c r="Y28" s="95"/>
      <c r="Z28" s="13"/>
    </row>
    <row r="29">
      <c r="A29" s="149">
        <v>22.0</v>
      </c>
      <c r="B29" s="158" t="s">
        <v>18</v>
      </c>
      <c r="C29" s="150">
        <v>0.3576388888888889</v>
      </c>
      <c r="D29" s="5"/>
      <c r="E29" s="150">
        <v>0.5576388888888889</v>
      </c>
      <c r="F29" s="5"/>
      <c r="G29" s="150">
        <v>0.5993055555555555</v>
      </c>
      <c r="H29" s="5"/>
      <c r="I29" s="150">
        <v>0.7423611111111111</v>
      </c>
      <c r="J29" s="5"/>
      <c r="K29" s="145"/>
      <c r="L29" s="90">
        <v>0.34305555555555556</v>
      </c>
      <c r="M29" s="90">
        <v>0.009722222222222222</v>
      </c>
      <c r="N29" s="89">
        <v>0.0</v>
      </c>
      <c r="O29" s="13"/>
      <c r="P29" s="13"/>
      <c r="Q29" s="13"/>
      <c r="R29" s="13"/>
      <c r="S29" s="13"/>
    </row>
    <row r="30">
      <c r="A30" s="149">
        <v>23.0</v>
      </c>
      <c r="B30" s="159" t="s">
        <v>19</v>
      </c>
      <c r="C30" s="151">
        <v>0.3625</v>
      </c>
      <c r="D30" s="5"/>
      <c r="E30" s="151">
        <v>0.5006944444444444</v>
      </c>
      <c r="F30" s="5"/>
      <c r="G30" s="151">
        <v>0.5423611111111111</v>
      </c>
      <c r="H30" s="5"/>
      <c r="I30" s="151">
        <v>0.75</v>
      </c>
      <c r="J30" s="5"/>
      <c r="K30" s="6"/>
      <c r="L30" s="90">
        <v>0.3458333333333333</v>
      </c>
      <c r="M30" s="90">
        <v>0.0125</v>
      </c>
      <c r="N30" s="89">
        <v>0.0</v>
      </c>
      <c r="O30" s="37"/>
      <c r="P30" s="35"/>
      <c r="Q30" s="13"/>
      <c r="R30" s="13"/>
      <c r="S30" s="29"/>
    </row>
    <row r="31">
      <c r="A31" s="149">
        <v>24.0</v>
      </c>
      <c r="B31" s="159" t="s">
        <v>20</v>
      </c>
      <c r="C31" s="151">
        <v>0.3472222222222222</v>
      </c>
      <c r="D31" s="5"/>
      <c r="E31" s="151">
        <v>0.5027777777777778</v>
      </c>
      <c r="F31" s="5"/>
      <c r="G31" s="151">
        <v>0.5430555555555555</v>
      </c>
      <c r="H31" s="5"/>
      <c r="I31" s="151">
        <v>0.7465277777777778</v>
      </c>
      <c r="J31" s="5"/>
      <c r="K31" s="6"/>
      <c r="L31" s="167">
        <v>0.3590277777777778</v>
      </c>
      <c r="M31" s="167">
        <v>0.025694444444444443</v>
      </c>
      <c r="N31" s="186">
        <v>0.0</v>
      </c>
      <c r="O31" s="13"/>
      <c r="P31" s="13"/>
      <c r="Q31" s="13"/>
      <c r="R31" s="13"/>
      <c r="S31" s="13"/>
    </row>
    <row r="32">
      <c r="A32" s="149">
        <v>25.0</v>
      </c>
      <c r="B32" s="159" t="s">
        <v>21</v>
      </c>
      <c r="C32" s="151">
        <v>0.3284722222222222</v>
      </c>
      <c r="D32" s="5"/>
      <c r="E32" s="151"/>
      <c r="F32" s="5"/>
      <c r="G32" s="151"/>
      <c r="H32" s="5"/>
      <c r="I32" s="151">
        <v>0.5013888888888889</v>
      </c>
      <c r="J32" s="5"/>
      <c r="K32" s="6"/>
      <c r="L32" s="130"/>
      <c r="M32" s="167">
        <v>0.00625</v>
      </c>
      <c r="N32" s="187"/>
      <c r="O32" s="31"/>
      <c r="P32" s="35"/>
      <c r="Q32" s="13"/>
      <c r="R32" s="13"/>
      <c r="S32" s="29"/>
    </row>
    <row r="33">
      <c r="A33" s="149">
        <v>26.0</v>
      </c>
      <c r="B33" s="158" t="s">
        <v>23</v>
      </c>
      <c r="C33" s="150"/>
      <c r="D33" s="5"/>
      <c r="E33" s="150"/>
      <c r="F33" s="5"/>
      <c r="G33" s="150"/>
      <c r="H33" s="5"/>
      <c r="I33" s="150"/>
      <c r="J33" s="5"/>
      <c r="K33" s="6"/>
      <c r="N33" s="131"/>
      <c r="O33" s="37"/>
      <c r="P33" s="35"/>
      <c r="Q33" s="13"/>
      <c r="R33" s="13"/>
      <c r="S33" s="13"/>
    </row>
    <row r="34">
      <c r="A34" s="149">
        <v>27.0</v>
      </c>
      <c r="B34" s="159" t="s">
        <v>24</v>
      </c>
      <c r="C34" s="150">
        <v>0.3451388888888889</v>
      </c>
      <c r="D34" s="5"/>
      <c r="E34" s="150">
        <v>0.5513888888888889</v>
      </c>
      <c r="F34" s="5"/>
      <c r="G34" s="150">
        <v>0.5930555555555556</v>
      </c>
      <c r="H34" s="5"/>
      <c r="I34" s="150">
        <v>0.7527777777777778</v>
      </c>
      <c r="J34" s="5"/>
      <c r="K34" s="6"/>
      <c r="L34" s="167">
        <v>0.3659722222222222</v>
      </c>
      <c r="M34" s="167">
        <v>0.03263888888888889</v>
      </c>
      <c r="N34" s="187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9" t="s">
        <v>58</v>
      </c>
      <c r="C35" s="151">
        <v>0.34652777777777777</v>
      </c>
      <c r="D35" s="5"/>
      <c r="E35" s="151">
        <v>0.5034722222222222</v>
      </c>
      <c r="F35" s="5"/>
      <c r="G35" s="151">
        <v>0.5444444444444444</v>
      </c>
      <c r="H35" s="5"/>
      <c r="I35" s="151">
        <v>0.75</v>
      </c>
      <c r="J35" s="5"/>
      <c r="L35" s="167">
        <v>0.3625</v>
      </c>
      <c r="M35" s="167">
        <v>0.029166666666666667</v>
      </c>
      <c r="N35" s="131"/>
      <c r="O35" s="37"/>
      <c r="P35" s="35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18</v>
      </c>
      <c r="C36" s="151">
        <v>0.3486111111111111</v>
      </c>
      <c r="D36" s="5"/>
      <c r="E36" s="151">
        <v>0.5430555555555555</v>
      </c>
      <c r="F36" s="5"/>
      <c r="G36" s="151">
        <v>0.5847222222222223</v>
      </c>
      <c r="H36" s="5"/>
      <c r="I36" s="151">
        <v>0.7444444444444445</v>
      </c>
      <c r="J36" s="5"/>
      <c r="K36" s="6"/>
      <c r="L36" s="167">
        <v>0.3541666666666667</v>
      </c>
      <c r="M36" s="167">
        <v>0.020833333333333332</v>
      </c>
      <c r="N36" s="131"/>
      <c r="O36" s="37"/>
      <c r="P36" s="35"/>
      <c r="Q36" s="13"/>
      <c r="R36" s="13"/>
      <c r="S36" s="13"/>
    </row>
    <row r="37">
      <c r="A37" s="163">
        <v>30.0</v>
      </c>
      <c r="B37" s="159" t="s">
        <v>26</v>
      </c>
      <c r="C37" s="151">
        <v>0.3597222222222222</v>
      </c>
      <c r="D37" s="5"/>
      <c r="E37" s="151">
        <v>0.5465277777777777</v>
      </c>
      <c r="F37" s="5"/>
      <c r="G37" s="151">
        <v>0.5833333333333334</v>
      </c>
      <c r="H37" s="5"/>
      <c r="I37" s="151">
        <v>0.75</v>
      </c>
      <c r="J37" s="5"/>
      <c r="K37" s="6"/>
      <c r="L37" s="167">
        <v>0.3486111111111111</v>
      </c>
      <c r="M37" s="167">
        <v>0.015277777777777777</v>
      </c>
      <c r="N37" s="131"/>
      <c r="O37" s="37"/>
      <c r="P37" s="35"/>
      <c r="Q37" s="13"/>
      <c r="R37" s="13"/>
      <c r="S37" s="29"/>
    </row>
    <row r="38">
      <c r="A38" s="163">
        <v>31.0</v>
      </c>
      <c r="B38" s="159" t="s">
        <v>20</v>
      </c>
      <c r="C38" s="151">
        <v>0.3472222222222222</v>
      </c>
      <c r="D38" s="5"/>
      <c r="E38" s="151">
        <v>0.5</v>
      </c>
      <c r="F38" s="5"/>
      <c r="G38" s="151">
        <v>0.5416666666666666</v>
      </c>
      <c r="H38" s="5"/>
      <c r="I38" s="151">
        <v>0.7451388888888889</v>
      </c>
      <c r="J38" s="5"/>
      <c r="K38" s="6"/>
      <c r="L38" s="167">
        <v>0.35625</v>
      </c>
      <c r="M38" s="167">
        <v>0.022916666666666665</v>
      </c>
      <c r="N38" s="167"/>
      <c r="O38" s="97"/>
      <c r="P38" s="13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5">
        <f>SUM(M8:M38)</f>
        <v>0.5798611111</v>
      </c>
      <c r="N39" s="82">
        <v>-16.0</v>
      </c>
      <c r="O39" s="29"/>
      <c r="P39" s="13"/>
      <c r="Q39" s="13"/>
      <c r="R39" s="13"/>
      <c r="S39" s="13"/>
    </row>
    <row r="40">
      <c r="A40" s="107" t="s">
        <v>168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07" t="s">
        <v>169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35"/>
      <c r="N41" s="13"/>
      <c r="O41" s="35"/>
      <c r="P41" s="29"/>
      <c r="Q41" s="13"/>
      <c r="R41" s="13"/>
      <c r="S41" s="13"/>
    </row>
    <row r="42">
      <c r="A42" s="132" t="s">
        <v>170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L43" s="13"/>
      <c r="M43" s="29"/>
      <c r="N43" s="13"/>
      <c r="O43" s="13"/>
      <c r="P43" s="13"/>
      <c r="Q43" s="13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  <c r="M45" s="41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</sheetData>
  <mergeCells count="149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  <c r="L3" s="64" t="s">
        <v>38</v>
      </c>
      <c r="M3" s="65">
        <v>0.3333333333333333</v>
      </c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  <c r="L4" s="64" t="s">
        <v>40</v>
      </c>
      <c r="M4" s="65">
        <v>0.006944444444444444</v>
      </c>
      <c r="Y4" s="13"/>
      <c r="Z4" s="13"/>
      <c r="AA4" s="13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  <c r="L5" s="13"/>
      <c r="M5" s="13"/>
      <c r="N5" s="13"/>
      <c r="Y5" s="13"/>
      <c r="Z5" s="13"/>
      <c r="AA5" s="13"/>
    </row>
    <row r="6">
      <c r="A6" s="66" t="s">
        <v>10</v>
      </c>
      <c r="B6" s="123" t="s">
        <v>158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N6" s="13"/>
      <c r="O6" s="13"/>
      <c r="P6" s="13"/>
      <c r="Q6" s="13"/>
      <c r="R6" s="13"/>
      <c r="S6" s="13"/>
      <c r="Y6" s="13"/>
      <c r="Z6" s="13"/>
      <c r="AA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82" t="s">
        <v>42</v>
      </c>
      <c r="M7" s="82" t="s">
        <v>43</v>
      </c>
      <c r="N7" s="82" t="s">
        <v>44</v>
      </c>
      <c r="O7" s="13"/>
      <c r="P7" s="13"/>
      <c r="Q7" s="13"/>
      <c r="R7" s="13"/>
      <c r="S7" s="13"/>
      <c r="Y7" s="13"/>
      <c r="Z7" s="13"/>
      <c r="AA7" s="13"/>
    </row>
    <row r="8">
      <c r="A8" s="148">
        <v>1.0</v>
      </c>
      <c r="B8" s="155" t="s">
        <v>18</v>
      </c>
      <c r="C8" s="150">
        <v>0.3506944444444444</v>
      </c>
      <c r="D8" s="5"/>
      <c r="E8" s="150">
        <v>0.5013888888888889</v>
      </c>
      <c r="F8" s="5"/>
      <c r="G8" s="150">
        <v>0.5465277777777777</v>
      </c>
      <c r="H8" s="5"/>
      <c r="I8" s="150">
        <v>0.7479166666666667</v>
      </c>
      <c r="J8" s="5"/>
      <c r="K8" s="6"/>
      <c r="L8" s="90">
        <f t="shared" ref="L8:L10" si="1">(E8-C8)+(I8-G8)</f>
        <v>0.3520833333</v>
      </c>
      <c r="M8" s="92">
        <f t="shared" ref="M8:M10" si="2">IF((L8-$M$3)&gt;$M$4,L8-$M$3,0)</f>
        <v>0.01875</v>
      </c>
      <c r="N8" s="91">
        <f t="shared" ref="N8:N10" si="3">+IF(($M$3-L8)&gt;$M$4,$M$3-L8,0)</f>
        <v>0</v>
      </c>
      <c r="T8" s="29">
        <v>0.0</v>
      </c>
      <c r="U8" s="29">
        <v>30.0</v>
      </c>
      <c r="V8" s="13"/>
      <c r="W8" s="13"/>
      <c r="X8" s="13"/>
      <c r="Y8" s="13"/>
      <c r="Z8" s="13"/>
      <c r="AA8" s="13"/>
    </row>
    <row r="9">
      <c r="A9" s="149">
        <v>2.0</v>
      </c>
      <c r="B9" s="158" t="s">
        <v>19</v>
      </c>
      <c r="C9" s="150">
        <v>0.3527777777777778</v>
      </c>
      <c r="D9" s="5"/>
      <c r="E9" s="150">
        <v>0.5125</v>
      </c>
      <c r="F9" s="5"/>
      <c r="G9" s="150">
        <v>0.5451388888888888</v>
      </c>
      <c r="H9" s="5"/>
      <c r="I9" s="150">
        <v>0.7472222222222222</v>
      </c>
      <c r="J9" s="5"/>
      <c r="K9" s="6"/>
      <c r="L9" s="90">
        <f t="shared" si="1"/>
        <v>0.3618055556</v>
      </c>
      <c r="M9" s="92">
        <f t="shared" si="2"/>
        <v>0.02847222222</v>
      </c>
      <c r="N9" s="91">
        <f t="shared" si="3"/>
        <v>0</v>
      </c>
      <c r="T9" s="29">
        <v>11.0</v>
      </c>
      <c r="U9" s="29">
        <v>30.0</v>
      </c>
      <c r="V9" s="13"/>
      <c r="W9" s="13"/>
      <c r="X9" s="13"/>
      <c r="Y9" s="13"/>
      <c r="Z9" s="13"/>
      <c r="AA9" s="29"/>
    </row>
    <row r="10">
      <c r="A10" s="149">
        <v>3.0</v>
      </c>
      <c r="B10" s="155" t="s">
        <v>20</v>
      </c>
      <c r="C10" s="150">
        <v>0.35625</v>
      </c>
      <c r="D10" s="5"/>
      <c r="E10" s="150">
        <v>0.5020833333333333</v>
      </c>
      <c r="F10" s="5"/>
      <c r="G10" s="150">
        <v>0.5430555555555555</v>
      </c>
      <c r="H10" s="5"/>
      <c r="I10" s="150">
        <v>0.7472222222222222</v>
      </c>
      <c r="J10" s="5"/>
      <c r="K10" s="6"/>
      <c r="L10" s="90">
        <f t="shared" si="1"/>
        <v>0.35</v>
      </c>
      <c r="M10" s="92">
        <f t="shared" si="2"/>
        <v>0.01666666667</v>
      </c>
      <c r="N10" s="91">
        <f t="shared" si="3"/>
        <v>0</v>
      </c>
      <c r="T10" s="29">
        <v>-6.0</v>
      </c>
      <c r="U10" s="29">
        <v>30.0</v>
      </c>
      <c r="V10" s="13"/>
      <c r="W10" s="13"/>
      <c r="X10" s="13"/>
      <c r="Y10" s="13"/>
      <c r="Z10" s="13"/>
      <c r="AA10" s="13"/>
    </row>
    <row r="11">
      <c r="A11" s="149">
        <v>4.0</v>
      </c>
      <c r="B11" s="155" t="s">
        <v>21</v>
      </c>
      <c r="C11" s="150">
        <v>0.3333333333333333</v>
      </c>
      <c r="D11" s="5"/>
      <c r="E11" s="150"/>
      <c r="F11" s="5"/>
      <c r="G11" s="150"/>
      <c r="H11" s="5"/>
      <c r="I11" s="150">
        <v>0.5006944444444444</v>
      </c>
      <c r="J11" s="5"/>
      <c r="K11" s="6"/>
      <c r="L11" s="89"/>
      <c r="M11" s="90"/>
      <c r="N11" s="91"/>
      <c r="T11" s="29">
        <v>0.0</v>
      </c>
      <c r="U11" s="29"/>
      <c r="V11" s="13"/>
      <c r="W11" s="13"/>
      <c r="X11" s="13"/>
      <c r="Y11" s="13"/>
      <c r="Z11" s="13"/>
      <c r="AA11" s="13"/>
    </row>
    <row r="12">
      <c r="A12" s="149">
        <v>5.0</v>
      </c>
      <c r="B12" s="155" t="s">
        <v>23</v>
      </c>
      <c r="C12" s="147" t="s">
        <v>103</v>
      </c>
      <c r="D12" s="5"/>
      <c r="E12" s="147" t="s">
        <v>103</v>
      </c>
      <c r="F12" s="5"/>
      <c r="G12" s="147" t="s">
        <v>103</v>
      </c>
      <c r="H12" s="5"/>
      <c r="I12" s="147" t="s">
        <v>103</v>
      </c>
      <c r="J12" s="5"/>
      <c r="K12" s="6"/>
      <c r="L12" s="130"/>
      <c r="M12" s="91"/>
      <c r="N12" s="91"/>
      <c r="T12" s="29"/>
      <c r="U12" s="29"/>
      <c r="V12" s="13"/>
      <c r="W12" s="13"/>
      <c r="X12" s="13"/>
      <c r="Y12" s="13"/>
      <c r="Z12" s="13"/>
      <c r="AA12" s="13"/>
    </row>
    <row r="13">
      <c r="A13" s="149">
        <v>6.0</v>
      </c>
      <c r="B13" s="158" t="s">
        <v>24</v>
      </c>
      <c r="C13" s="150">
        <v>0.35555555555555557</v>
      </c>
      <c r="D13" s="5"/>
      <c r="E13" s="150">
        <v>0.5041666666666667</v>
      </c>
      <c r="F13" s="5"/>
      <c r="G13" s="150">
        <v>0.54375</v>
      </c>
      <c r="H13" s="5"/>
      <c r="I13" s="150">
        <v>0.7465277777777778</v>
      </c>
      <c r="J13" s="5"/>
      <c r="K13" s="6"/>
      <c r="L13" s="90">
        <f t="shared" ref="L13:L17" si="4">(E13-C13)+(I13-G13)</f>
        <v>0.3513888889</v>
      </c>
      <c r="M13" s="92">
        <f t="shared" ref="M13:M17" si="5">IF((L13-$M$3)&gt;$M$4,L13-$M$3,0)</f>
        <v>0.01805555556</v>
      </c>
      <c r="N13" s="91">
        <f t="shared" ref="N13:N17" si="6">+IF(($M$3-L13)&gt;$M$4,$M$3-L13,0)</f>
        <v>0</v>
      </c>
      <c r="T13" s="29">
        <v>-6.0</v>
      </c>
      <c r="U13" s="29">
        <v>30.0</v>
      </c>
      <c r="V13" s="29"/>
      <c r="W13" s="37"/>
      <c r="X13" s="35"/>
      <c r="Y13" s="13"/>
      <c r="Z13" s="13"/>
      <c r="AA13" s="13"/>
    </row>
    <row r="14">
      <c r="A14" s="149">
        <v>7.0</v>
      </c>
      <c r="B14" s="159" t="s">
        <v>58</v>
      </c>
      <c r="C14" s="150">
        <v>0.35347222222222224</v>
      </c>
      <c r="D14" s="5"/>
      <c r="E14" s="150">
        <v>0.5013888888888889</v>
      </c>
      <c r="F14" s="5"/>
      <c r="G14" s="150">
        <v>0.5479166666666667</v>
      </c>
      <c r="H14" s="5"/>
      <c r="I14" s="150">
        <v>0.7465277777777778</v>
      </c>
      <c r="J14" s="5"/>
      <c r="K14" s="6"/>
      <c r="L14" s="90">
        <f t="shared" si="4"/>
        <v>0.3465277778</v>
      </c>
      <c r="M14" s="92">
        <f t="shared" si="5"/>
        <v>0.01319444444</v>
      </c>
      <c r="N14" s="91">
        <f t="shared" si="6"/>
        <v>0</v>
      </c>
      <c r="T14" s="29">
        <v>-11.0</v>
      </c>
      <c r="U14" s="29">
        <v>30.0</v>
      </c>
      <c r="V14" s="93" t="s">
        <v>27</v>
      </c>
      <c r="W14" s="94">
        <v>0.11180555555555556</v>
      </c>
      <c r="X14" s="160" t="s">
        <v>101</v>
      </c>
      <c r="Y14" s="13"/>
      <c r="Z14" s="13"/>
      <c r="AA14" s="13"/>
    </row>
    <row r="15">
      <c r="A15" s="149">
        <v>8.0</v>
      </c>
      <c r="B15" s="155" t="s">
        <v>18</v>
      </c>
      <c r="C15" s="150">
        <v>0.3541666666666667</v>
      </c>
      <c r="D15" s="5"/>
      <c r="E15" s="150">
        <v>0.50625</v>
      </c>
      <c r="F15" s="5"/>
      <c r="G15" s="150">
        <v>0.55</v>
      </c>
      <c r="H15" s="5"/>
      <c r="I15" s="150">
        <v>0.7520833333333333</v>
      </c>
      <c r="J15" s="5"/>
      <c r="K15" s="6"/>
      <c r="L15" s="90">
        <f t="shared" si="4"/>
        <v>0.3541666667</v>
      </c>
      <c r="M15" s="92">
        <f t="shared" si="5"/>
        <v>0.02083333333</v>
      </c>
      <c r="N15" s="91">
        <f t="shared" si="6"/>
        <v>0</v>
      </c>
      <c r="T15" s="29">
        <v>0.0</v>
      </c>
      <c r="U15" s="29">
        <v>30.0</v>
      </c>
      <c r="V15" s="29"/>
      <c r="W15" s="37"/>
      <c r="X15" s="35"/>
      <c r="Y15" s="13"/>
      <c r="Z15" s="13"/>
      <c r="AA15" s="13"/>
    </row>
    <row r="16">
      <c r="A16" s="149">
        <v>9.0</v>
      </c>
      <c r="B16" s="158" t="s">
        <v>19</v>
      </c>
      <c r="C16" s="150">
        <v>0.3548611111111111</v>
      </c>
      <c r="D16" s="5"/>
      <c r="E16" s="150">
        <v>0.5034722222222222</v>
      </c>
      <c r="F16" s="5"/>
      <c r="G16" s="150">
        <v>0.5479166666666667</v>
      </c>
      <c r="H16" s="5"/>
      <c r="I16" s="150">
        <v>0.7534722222222222</v>
      </c>
      <c r="J16" s="5"/>
      <c r="K16" s="6"/>
      <c r="L16" s="90">
        <f t="shared" si="4"/>
        <v>0.3541666667</v>
      </c>
      <c r="M16" s="92">
        <f t="shared" si="5"/>
        <v>0.02083333333</v>
      </c>
      <c r="N16" s="91">
        <f t="shared" si="6"/>
        <v>0</v>
      </c>
      <c r="T16" s="29">
        <v>0.0</v>
      </c>
      <c r="U16" s="142">
        <v>30.0</v>
      </c>
      <c r="V16" s="13"/>
      <c r="W16" s="13"/>
      <c r="X16" s="13"/>
      <c r="Y16" s="13"/>
      <c r="Z16" s="13"/>
      <c r="AA16" s="13"/>
    </row>
    <row r="17">
      <c r="A17" s="149">
        <v>10.0</v>
      </c>
      <c r="B17" s="159" t="s">
        <v>20</v>
      </c>
      <c r="C17" s="147" t="s">
        <v>103</v>
      </c>
      <c r="D17" s="5"/>
      <c r="E17" s="150">
        <v>0.5027777777777778</v>
      </c>
      <c r="F17" s="5"/>
      <c r="G17" s="150">
        <v>0.5520833333333334</v>
      </c>
      <c r="H17" s="5"/>
      <c r="I17" s="150">
        <v>0.7486111111111111</v>
      </c>
      <c r="J17" s="5"/>
      <c r="K17" s="6"/>
      <c r="L17" s="89" t="str">
        <f t="shared" si="4"/>
        <v>#VALUE!</v>
      </c>
      <c r="M17" s="91" t="str">
        <f t="shared" si="5"/>
        <v>#VALUE!</v>
      </c>
      <c r="N17" s="91" t="str">
        <f t="shared" si="6"/>
        <v>#VALUE!</v>
      </c>
      <c r="P17" s="188">
        <v>0.3680555555555556</v>
      </c>
      <c r="T17" s="29">
        <v>-13.0</v>
      </c>
      <c r="U17" s="142">
        <v>30.0</v>
      </c>
      <c r="V17" s="13"/>
      <c r="W17" s="13"/>
      <c r="X17" s="13"/>
      <c r="Y17" s="13"/>
      <c r="Z17" s="13"/>
      <c r="AA17" s="13"/>
    </row>
    <row r="18">
      <c r="A18" s="149">
        <v>11.0</v>
      </c>
      <c r="B18" s="159" t="s">
        <v>21</v>
      </c>
      <c r="C18" s="150">
        <v>0.3347222222222222</v>
      </c>
      <c r="D18" s="5"/>
      <c r="E18" s="147" t="s">
        <v>103</v>
      </c>
      <c r="F18" s="5"/>
      <c r="G18" s="147" t="s">
        <v>103</v>
      </c>
      <c r="H18" s="5"/>
      <c r="I18" s="150">
        <v>0.49236111111111114</v>
      </c>
      <c r="J18" s="5"/>
      <c r="K18" s="6"/>
      <c r="L18" s="130"/>
      <c r="M18" s="89"/>
      <c r="N18" s="89">
        <v>-13.0</v>
      </c>
      <c r="T18" s="29">
        <v>-13.0</v>
      </c>
      <c r="U18" s="29"/>
      <c r="V18" s="29"/>
      <c r="W18" s="37"/>
      <c r="X18" s="35"/>
      <c r="Y18" s="13"/>
      <c r="Z18" s="13"/>
      <c r="AA18" s="29"/>
    </row>
    <row r="19">
      <c r="A19" s="149">
        <v>12.0</v>
      </c>
      <c r="B19" s="155" t="s">
        <v>23</v>
      </c>
      <c r="C19" s="147" t="s">
        <v>103</v>
      </c>
      <c r="D19" s="5"/>
      <c r="E19" s="147" t="s">
        <v>103</v>
      </c>
      <c r="F19" s="5"/>
      <c r="G19" s="147" t="s">
        <v>103</v>
      </c>
      <c r="H19" s="5"/>
      <c r="I19" s="147" t="s">
        <v>103</v>
      </c>
      <c r="J19" s="5"/>
      <c r="K19" s="6"/>
      <c r="L19" s="91"/>
      <c r="M19" s="91"/>
      <c r="N19" s="91"/>
      <c r="T19" s="29"/>
      <c r="U19" s="29"/>
      <c r="V19" s="29"/>
      <c r="W19" s="37"/>
      <c r="X19" s="35"/>
      <c r="Y19" s="13"/>
      <c r="Z19" s="13"/>
      <c r="AA19" s="13"/>
    </row>
    <row r="20">
      <c r="A20" s="149">
        <v>13.0</v>
      </c>
      <c r="B20" s="158" t="s">
        <v>24</v>
      </c>
      <c r="C20" s="150">
        <v>0.35694444444444445</v>
      </c>
      <c r="D20" s="5"/>
      <c r="E20" s="150">
        <v>0.5020833333333333</v>
      </c>
      <c r="F20" s="5"/>
      <c r="G20" s="150">
        <v>0.5472222222222223</v>
      </c>
      <c r="H20" s="5"/>
      <c r="I20" s="150">
        <v>0.7458333333333333</v>
      </c>
      <c r="J20" s="5"/>
      <c r="K20" s="6"/>
      <c r="L20" s="90">
        <f t="shared" ref="L20:L24" si="7">(E20-C20)+(I20-G20)</f>
        <v>0.34375</v>
      </c>
      <c r="M20" s="92">
        <f t="shared" ref="M20:M24" si="8">IF((L20-$M$3)&gt;$M$4,L20-$M$3,0)</f>
        <v>0.01041666667</v>
      </c>
      <c r="N20" s="91">
        <f t="shared" ref="N20:N23" si="9">+IF(($M$3-L20)&gt;$M$4,$M$3-L20,0)</f>
        <v>0</v>
      </c>
      <c r="T20" s="29">
        <v>-15.0</v>
      </c>
      <c r="U20" s="29">
        <v>30.0</v>
      </c>
      <c r="V20" s="13"/>
      <c r="W20" s="13"/>
      <c r="X20" s="13"/>
      <c r="Y20" s="13"/>
      <c r="Z20" s="13"/>
      <c r="AA20" s="13"/>
    </row>
    <row r="21">
      <c r="A21" s="149">
        <v>14.0</v>
      </c>
      <c r="B21" s="159" t="s">
        <v>25</v>
      </c>
      <c r="C21" s="150">
        <v>0.3611111111111111</v>
      </c>
      <c r="D21" s="5"/>
      <c r="E21" s="150">
        <v>0.50625</v>
      </c>
      <c r="F21" s="5"/>
      <c r="G21" s="150">
        <v>0.5465277777777777</v>
      </c>
      <c r="H21" s="5"/>
      <c r="I21" s="150">
        <v>0.7472222222222222</v>
      </c>
      <c r="J21" s="5"/>
      <c r="K21" s="6"/>
      <c r="L21" s="90">
        <f t="shared" si="7"/>
        <v>0.3458333333</v>
      </c>
      <c r="M21" s="92">
        <f t="shared" si="8"/>
        <v>0.0125</v>
      </c>
      <c r="N21" s="91">
        <f t="shared" si="9"/>
        <v>0</v>
      </c>
      <c r="T21" s="96">
        <v>-12.0</v>
      </c>
      <c r="U21" s="29">
        <v>30.0</v>
      </c>
      <c r="V21" s="13"/>
      <c r="W21" s="13"/>
      <c r="X21" s="13"/>
      <c r="Y21" s="13"/>
      <c r="Z21" s="13"/>
      <c r="AA21" s="13"/>
    </row>
    <row r="22">
      <c r="A22" s="149">
        <v>15.0</v>
      </c>
      <c r="B22" s="155" t="s">
        <v>18</v>
      </c>
      <c r="C22" s="150">
        <v>0.3625</v>
      </c>
      <c r="D22" s="5"/>
      <c r="E22" s="151">
        <v>0.5104166666666666</v>
      </c>
      <c r="F22" s="5"/>
      <c r="G22" s="151">
        <v>0.5513888888888889</v>
      </c>
      <c r="H22" s="5"/>
      <c r="I22" s="150">
        <v>0.7472222222222222</v>
      </c>
      <c r="J22" s="5"/>
      <c r="K22" s="6"/>
      <c r="L22" s="90">
        <f t="shared" si="7"/>
        <v>0.34375</v>
      </c>
      <c r="M22" s="92">
        <f t="shared" si="8"/>
        <v>0.01041666667</v>
      </c>
      <c r="N22" s="91">
        <f t="shared" si="9"/>
        <v>0</v>
      </c>
      <c r="T22" s="29">
        <v>-15.0</v>
      </c>
      <c r="U22" s="29">
        <v>30.0</v>
      </c>
      <c r="V22" s="29"/>
      <c r="W22" s="31"/>
      <c r="X22" s="35"/>
      <c r="Y22" s="13"/>
      <c r="Z22" s="13"/>
      <c r="AA22" s="13"/>
    </row>
    <row r="23">
      <c r="A23" s="149">
        <v>16.0</v>
      </c>
      <c r="B23" s="158" t="s">
        <v>19</v>
      </c>
      <c r="C23" s="152">
        <v>0.3597222222222222</v>
      </c>
      <c r="D23" s="5"/>
      <c r="E23" s="152">
        <v>0.5041666666666667</v>
      </c>
      <c r="F23" s="5"/>
      <c r="G23" s="152">
        <v>0.5527777777777778</v>
      </c>
      <c r="H23" s="5"/>
      <c r="I23" s="152">
        <v>0.7506944444444444</v>
      </c>
      <c r="J23" s="5"/>
      <c r="K23" s="6"/>
      <c r="L23" s="90">
        <f t="shared" si="7"/>
        <v>0.3423611111</v>
      </c>
      <c r="M23" s="92">
        <f t="shared" si="8"/>
        <v>0.009027777778</v>
      </c>
      <c r="N23" s="91">
        <f t="shared" si="9"/>
        <v>0</v>
      </c>
      <c r="T23" s="29">
        <v>-17.0</v>
      </c>
      <c r="U23" s="29">
        <v>30.0</v>
      </c>
      <c r="V23" s="93" t="s">
        <v>27</v>
      </c>
      <c r="W23" s="94">
        <v>0.25763888888888886</v>
      </c>
      <c r="X23" s="93" t="s">
        <v>102</v>
      </c>
      <c r="Y23" s="13"/>
      <c r="Z23" s="13"/>
      <c r="AA23" s="13"/>
    </row>
    <row r="24">
      <c r="A24" s="149">
        <v>17.0</v>
      </c>
      <c r="B24" s="159" t="s">
        <v>20</v>
      </c>
      <c r="C24" s="150">
        <v>0.375</v>
      </c>
      <c r="D24" s="5"/>
      <c r="E24" s="150">
        <v>0.5006944444444444</v>
      </c>
      <c r="F24" s="5"/>
      <c r="G24" s="150">
        <v>0.5541666666666667</v>
      </c>
      <c r="H24" s="5"/>
      <c r="I24" s="150">
        <v>0.7486111111111111</v>
      </c>
      <c r="J24" s="5"/>
      <c r="K24" s="6"/>
      <c r="L24" s="90">
        <f t="shared" si="7"/>
        <v>0.3201388889</v>
      </c>
      <c r="M24" s="91">
        <f t="shared" si="8"/>
        <v>0</v>
      </c>
      <c r="N24" s="89">
        <v>-19.0</v>
      </c>
      <c r="T24" s="29">
        <v>-49.0</v>
      </c>
      <c r="U24" s="29">
        <v>30.0</v>
      </c>
      <c r="V24" s="29"/>
      <c r="W24" s="37"/>
      <c r="X24" s="35"/>
      <c r="Y24" s="13"/>
      <c r="Z24" s="13"/>
      <c r="AA24" s="13"/>
    </row>
    <row r="25">
      <c r="A25" s="149">
        <v>18.0</v>
      </c>
      <c r="B25" s="159" t="s">
        <v>21</v>
      </c>
      <c r="C25" s="150">
        <v>0.33125</v>
      </c>
      <c r="D25" s="5"/>
      <c r="E25" s="150"/>
      <c r="F25" s="5"/>
      <c r="G25" s="150"/>
      <c r="H25" s="5"/>
      <c r="I25" s="150">
        <v>0.4930555555555556</v>
      </c>
      <c r="J25" s="5"/>
      <c r="K25" s="6"/>
      <c r="L25" s="91"/>
      <c r="M25" s="89"/>
      <c r="N25" s="89">
        <v>-7.0</v>
      </c>
      <c r="T25" s="29">
        <v>0.0</v>
      </c>
      <c r="U25" s="29"/>
      <c r="V25" s="13"/>
      <c r="W25" s="13"/>
      <c r="X25" s="13"/>
      <c r="Y25" s="13"/>
      <c r="Z25" s="13"/>
      <c r="AA25" s="13"/>
    </row>
    <row r="26">
      <c r="A26" s="149">
        <v>19.0</v>
      </c>
      <c r="B26" s="158" t="s">
        <v>23</v>
      </c>
      <c r="C26" s="147" t="s">
        <v>103</v>
      </c>
      <c r="D26" s="5"/>
      <c r="E26" s="147" t="s">
        <v>103</v>
      </c>
      <c r="F26" s="5"/>
      <c r="G26" s="147" t="s">
        <v>103</v>
      </c>
      <c r="H26" s="5"/>
      <c r="I26" s="147" t="s">
        <v>103</v>
      </c>
      <c r="J26" s="5"/>
      <c r="K26" s="127"/>
      <c r="L26" s="91"/>
      <c r="M26" s="91"/>
      <c r="N26" s="91"/>
      <c r="T26" s="29"/>
      <c r="U26" s="29"/>
      <c r="V26" s="96"/>
      <c r="W26" s="29"/>
      <c r="X26" s="35"/>
      <c r="Y26" s="13"/>
      <c r="Z26" s="13"/>
      <c r="AA26" s="29"/>
    </row>
    <row r="27">
      <c r="A27" s="149">
        <v>20.0</v>
      </c>
      <c r="B27" s="159" t="s">
        <v>24</v>
      </c>
      <c r="C27" s="150">
        <v>0.3541666666666667</v>
      </c>
      <c r="D27" s="5"/>
      <c r="E27" s="150">
        <v>0.5006944444444444</v>
      </c>
      <c r="F27" s="5"/>
      <c r="G27" s="150">
        <v>0.5430555555555555</v>
      </c>
      <c r="H27" s="5"/>
      <c r="I27" s="150">
        <v>0.7513888888888889</v>
      </c>
      <c r="J27" s="5"/>
      <c r="K27" s="6"/>
      <c r="L27" s="90">
        <f t="shared" ref="L27:L28" si="10">(E27-C27)+(I27-G27)</f>
        <v>0.3548611111</v>
      </c>
      <c r="M27" s="92">
        <f t="shared" ref="M27:M28" si="11">IF((L27-$M$3)&gt;$M$4,L27-$M$3,0)</f>
        <v>0.02152777778</v>
      </c>
      <c r="N27" s="91">
        <f t="shared" ref="N27:N28" si="12">+IF(($M$3-L27)&gt;$M$4,$M$3-L27,0)</f>
        <v>0</v>
      </c>
      <c r="T27" s="29">
        <v>0.0</v>
      </c>
      <c r="U27" s="29">
        <v>30.0</v>
      </c>
      <c r="V27" s="13"/>
      <c r="W27" s="13"/>
      <c r="X27" s="13"/>
      <c r="Y27" s="13"/>
      <c r="Z27" s="13"/>
      <c r="AA27" s="13"/>
    </row>
    <row r="28">
      <c r="A28" s="149">
        <v>21.0</v>
      </c>
      <c r="B28" s="159" t="s">
        <v>58</v>
      </c>
      <c r="C28" s="150">
        <v>0.35555555555555557</v>
      </c>
      <c r="D28" s="5"/>
      <c r="E28" s="150">
        <v>0.5</v>
      </c>
      <c r="F28" s="5"/>
      <c r="G28" s="150">
        <v>0.5569444444444445</v>
      </c>
      <c r="H28" s="5"/>
      <c r="I28" s="150">
        <v>0.7541666666666667</v>
      </c>
      <c r="J28" s="5"/>
      <c r="K28" s="6"/>
      <c r="L28" s="90">
        <f t="shared" si="10"/>
        <v>0.3416666667</v>
      </c>
      <c r="M28" s="92">
        <f t="shared" si="11"/>
        <v>0.008333333333</v>
      </c>
      <c r="N28" s="91">
        <f t="shared" si="12"/>
        <v>0</v>
      </c>
      <c r="P28" s="98" t="s">
        <v>82</v>
      </c>
      <c r="T28" s="29">
        <v>0.0</v>
      </c>
      <c r="U28" s="39">
        <v>30.0</v>
      </c>
      <c r="V28" s="93" t="s">
        <v>27</v>
      </c>
      <c r="W28" s="94">
        <v>0.32013888888888886</v>
      </c>
      <c r="X28" s="93" t="s">
        <v>104</v>
      </c>
      <c r="Y28" s="13"/>
      <c r="Z28" s="13"/>
      <c r="AA28" s="29"/>
    </row>
    <row r="29">
      <c r="A29" s="149">
        <v>22.0</v>
      </c>
      <c r="B29" s="158" t="s">
        <v>18</v>
      </c>
      <c r="C29" s="150">
        <v>0.3541666666666667</v>
      </c>
      <c r="D29" s="5"/>
      <c r="E29" s="150">
        <v>0.5013888888888889</v>
      </c>
      <c r="F29" s="5"/>
      <c r="G29" s="150">
        <v>0.5486111111111112</v>
      </c>
      <c r="H29" s="5"/>
      <c r="I29" s="150">
        <v>0.7444444444444445</v>
      </c>
      <c r="J29" s="5"/>
      <c r="K29" s="6"/>
      <c r="L29" s="90">
        <v>0.34305555555555556</v>
      </c>
      <c r="M29" s="90">
        <v>0.009722222222222222</v>
      </c>
      <c r="N29" s="91"/>
      <c r="O29" s="13"/>
      <c r="P29" s="13"/>
      <c r="Q29" s="13"/>
      <c r="R29" s="13"/>
      <c r="T29" s="29"/>
      <c r="U29" s="39"/>
      <c r="V29" s="13"/>
      <c r="W29" s="13"/>
      <c r="X29" s="13"/>
      <c r="Y29" s="13"/>
      <c r="Z29" s="13"/>
      <c r="AA29" s="13"/>
    </row>
    <row r="30">
      <c r="A30" s="149">
        <v>23.0</v>
      </c>
      <c r="B30" s="159" t="s">
        <v>19</v>
      </c>
      <c r="C30" s="151">
        <v>0.3638888888888889</v>
      </c>
      <c r="D30" s="5"/>
      <c r="E30" s="151">
        <v>0.5069444444444444</v>
      </c>
      <c r="F30" s="5"/>
      <c r="G30" s="151">
        <v>0.5513888888888889</v>
      </c>
      <c r="H30" s="5"/>
      <c r="I30" s="151">
        <v>0.75</v>
      </c>
      <c r="J30" s="5"/>
      <c r="K30" s="6"/>
      <c r="L30" s="90">
        <v>0.3416666666666667</v>
      </c>
      <c r="M30" s="90">
        <v>0.008333333333333333</v>
      </c>
      <c r="N30" s="91"/>
      <c r="O30" s="37"/>
      <c r="P30" s="35"/>
      <c r="Q30" s="13"/>
      <c r="R30" s="13"/>
      <c r="T30" s="29"/>
      <c r="U30" s="39"/>
      <c r="V30" s="96"/>
      <c r="W30" s="29"/>
      <c r="X30" s="35"/>
      <c r="Y30" s="44"/>
      <c r="Z30" s="44"/>
      <c r="AA30" s="45"/>
      <c r="AB30" s="45"/>
    </row>
    <row r="31">
      <c r="A31" s="149">
        <v>24.0</v>
      </c>
      <c r="B31" s="159" t="s">
        <v>20</v>
      </c>
      <c r="C31" s="151">
        <v>0.35833333333333334</v>
      </c>
      <c r="D31" s="5"/>
      <c r="E31" s="151">
        <v>0.5020833333333333</v>
      </c>
      <c r="F31" s="5"/>
      <c r="G31" s="151">
        <v>0.5458333333333333</v>
      </c>
      <c r="H31" s="5"/>
      <c r="I31" s="151">
        <v>0.7465277777777778</v>
      </c>
      <c r="J31" s="5"/>
      <c r="K31" s="6"/>
      <c r="L31" s="167">
        <v>0.34444444444444444</v>
      </c>
      <c r="M31" s="167">
        <v>0.011111111111111112</v>
      </c>
      <c r="N31" s="186"/>
      <c r="O31" s="13"/>
      <c r="P31" s="13"/>
      <c r="Q31" s="13"/>
      <c r="R31" s="13"/>
      <c r="T31" s="29"/>
      <c r="U31" s="128"/>
      <c r="V31" s="29"/>
      <c r="W31" s="29"/>
      <c r="X31" s="35"/>
      <c r="Y31" s="13"/>
      <c r="Z31" s="13"/>
      <c r="AA31" s="29"/>
      <c r="AB31" s="13"/>
    </row>
    <row r="32">
      <c r="A32" s="149">
        <v>25.0</v>
      </c>
      <c r="B32" s="159" t="s">
        <v>21</v>
      </c>
      <c r="C32" s="151">
        <v>0.32916666666666666</v>
      </c>
      <c r="D32" s="5"/>
      <c r="E32" s="151"/>
      <c r="F32" s="5"/>
      <c r="G32" s="151"/>
      <c r="H32" s="5"/>
      <c r="I32" s="151">
        <v>0.5020833333333333</v>
      </c>
      <c r="J32" s="5"/>
      <c r="K32" s="6"/>
      <c r="L32" s="130"/>
      <c r="M32" s="167">
        <v>0.00625</v>
      </c>
      <c r="N32" s="187"/>
      <c r="O32" s="31"/>
      <c r="P32" s="35"/>
      <c r="Q32" s="13"/>
      <c r="R32" s="13"/>
      <c r="T32" s="29"/>
      <c r="U32" s="39"/>
      <c r="V32" s="29"/>
      <c r="W32" s="37"/>
      <c r="X32" s="35"/>
      <c r="Y32" s="13"/>
      <c r="Z32" s="13"/>
      <c r="AA32" s="97"/>
      <c r="AB32" s="129">
        <v>0.45625</v>
      </c>
    </row>
    <row r="33">
      <c r="A33" s="149">
        <v>26.0</v>
      </c>
      <c r="B33" s="158" t="s">
        <v>23</v>
      </c>
      <c r="C33" s="150"/>
      <c r="D33" s="5"/>
      <c r="E33" s="150"/>
      <c r="F33" s="5"/>
      <c r="G33" s="150"/>
      <c r="H33" s="5"/>
      <c r="I33" s="150"/>
      <c r="J33" s="5"/>
      <c r="K33" s="6"/>
      <c r="L33" s="130"/>
      <c r="M33" s="130"/>
      <c r="N33" s="131"/>
      <c r="O33" s="37"/>
      <c r="P33" s="35"/>
      <c r="Q33" s="13"/>
      <c r="R33" s="13"/>
      <c r="T33" s="29"/>
      <c r="U33" s="39"/>
      <c r="V33" s="29"/>
      <c r="W33" s="37"/>
      <c r="X33" s="35"/>
      <c r="Y33" s="13"/>
      <c r="Z33" s="13"/>
      <c r="AA33" s="29"/>
    </row>
    <row r="34">
      <c r="A34" s="149">
        <v>27.0</v>
      </c>
      <c r="B34" s="159" t="s">
        <v>24</v>
      </c>
      <c r="C34" s="143" t="s">
        <v>68</v>
      </c>
      <c r="D34" s="15"/>
      <c r="E34" s="15"/>
      <c r="F34" s="15"/>
      <c r="G34" s="15"/>
      <c r="H34" s="15"/>
      <c r="I34" s="15"/>
      <c r="J34" s="5"/>
      <c r="K34" s="6"/>
      <c r="L34" s="130"/>
      <c r="M34" s="187"/>
      <c r="N34" s="130" t="s">
        <v>131</v>
      </c>
      <c r="O34" s="29"/>
      <c r="P34" s="35"/>
      <c r="Q34" s="44"/>
      <c r="R34" s="44"/>
      <c r="T34" s="13"/>
      <c r="U34" s="13"/>
      <c r="V34" s="13"/>
      <c r="W34" s="29"/>
      <c r="X34" s="13"/>
      <c r="Y34" s="13"/>
      <c r="Z34" s="13"/>
      <c r="AA34" s="13"/>
    </row>
    <row r="35">
      <c r="A35" s="149">
        <v>28.0</v>
      </c>
      <c r="B35" s="159" t="s">
        <v>58</v>
      </c>
      <c r="C35" s="150">
        <v>0.34930555555555554</v>
      </c>
      <c r="D35" s="5"/>
      <c r="E35" s="150">
        <v>0.5027777777777778</v>
      </c>
      <c r="F35" s="5"/>
      <c r="G35" s="150">
        <v>0.5513888888888889</v>
      </c>
      <c r="H35" s="5"/>
      <c r="I35" s="150">
        <v>0.75</v>
      </c>
      <c r="J35" s="5"/>
      <c r="L35" s="167">
        <v>0.35208333333333336</v>
      </c>
      <c r="M35" s="167">
        <v>0.01875</v>
      </c>
      <c r="N35" s="131"/>
      <c r="O35" s="37"/>
      <c r="P35" s="35"/>
      <c r="Q35" s="13"/>
      <c r="R35" s="13"/>
      <c r="T35" s="13"/>
      <c r="U35" s="35"/>
      <c r="V35" s="13"/>
      <c r="W35" s="29"/>
      <c r="X35" s="13"/>
      <c r="Y35" s="13"/>
      <c r="Z35" s="13"/>
      <c r="AA35" s="13"/>
    </row>
    <row r="36">
      <c r="A36" s="149">
        <v>29.0</v>
      </c>
      <c r="B36" s="159" t="s">
        <v>18</v>
      </c>
      <c r="C36" s="151">
        <v>0.3541666666666667</v>
      </c>
      <c r="D36" s="5"/>
      <c r="E36" s="151">
        <v>0.5006944444444444</v>
      </c>
      <c r="F36" s="5"/>
      <c r="G36" s="151">
        <v>0.5451388888888888</v>
      </c>
      <c r="H36" s="5"/>
      <c r="I36" s="151">
        <v>0.7444444444444445</v>
      </c>
      <c r="J36" s="5"/>
      <c r="K36" s="6"/>
      <c r="L36" s="167">
        <v>0.3458333333333333</v>
      </c>
      <c r="M36" s="167">
        <v>0.0125</v>
      </c>
      <c r="N36" s="131"/>
      <c r="O36" s="37"/>
      <c r="P36" s="35"/>
      <c r="Q36" s="13"/>
      <c r="R36" s="13"/>
      <c r="T36" s="13"/>
      <c r="U36" s="13"/>
      <c r="V36" s="13"/>
      <c r="W36" s="13"/>
      <c r="X36" s="29"/>
      <c r="Y36" s="13"/>
      <c r="Z36" s="13"/>
      <c r="AA36" s="13"/>
    </row>
    <row r="37">
      <c r="A37" s="163">
        <v>30.0</v>
      </c>
      <c r="B37" s="159" t="s">
        <v>26</v>
      </c>
      <c r="C37" s="151">
        <v>0.3611111111111111</v>
      </c>
      <c r="D37" s="5"/>
      <c r="E37" s="151">
        <v>0.5020833333333333</v>
      </c>
      <c r="F37" s="5"/>
      <c r="G37" s="151">
        <v>0.54375</v>
      </c>
      <c r="H37" s="5"/>
      <c r="I37" s="151">
        <v>0.75</v>
      </c>
      <c r="J37" s="5"/>
      <c r="K37" s="6"/>
      <c r="L37" s="167">
        <v>0.3472222222222222</v>
      </c>
      <c r="M37" s="167">
        <v>0.013888888888888888</v>
      </c>
      <c r="N37" s="131"/>
      <c r="O37" s="37"/>
      <c r="P37" s="35"/>
      <c r="Q37" s="13"/>
      <c r="R37" s="13"/>
      <c r="T37" s="13"/>
      <c r="U37" s="13"/>
      <c r="V37" s="13"/>
      <c r="W37" s="29">
        <v>4.15</v>
      </c>
      <c r="X37" s="29">
        <v>11.57</v>
      </c>
    </row>
    <row r="38">
      <c r="A38" s="163">
        <v>31.0</v>
      </c>
      <c r="B38" s="159" t="s">
        <v>20</v>
      </c>
      <c r="C38" s="151">
        <v>0.35694444444444445</v>
      </c>
      <c r="D38" s="5"/>
      <c r="E38" s="151">
        <v>0.5027777777777778</v>
      </c>
      <c r="F38" s="5"/>
      <c r="G38" s="151">
        <v>0.5479166666666667</v>
      </c>
      <c r="H38" s="5"/>
      <c r="I38" s="151">
        <v>0.7451388888888889</v>
      </c>
      <c r="J38" s="5"/>
      <c r="K38" s="6"/>
      <c r="L38" s="167">
        <v>0.34305555555555556</v>
      </c>
      <c r="M38" s="167">
        <v>0.009722222222222222</v>
      </c>
      <c r="N38" s="167"/>
      <c r="O38" s="97"/>
      <c r="P38" s="13"/>
      <c r="Q38" s="13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04"/>
      <c r="M39" s="104" t="str">
        <f>SUM(M8:M38)</f>
        <v>#VALUE!</v>
      </c>
      <c r="N39" s="184">
        <v>-0.36041666666666666</v>
      </c>
      <c r="O39" s="29"/>
      <c r="P39" s="13"/>
      <c r="Q39" s="13"/>
      <c r="R39" s="13"/>
    </row>
    <row r="40">
      <c r="A40" s="107" t="s">
        <v>171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07" t="s">
        <v>172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M41" s="188">
        <v>0.29930555555555555</v>
      </c>
    </row>
    <row r="42">
      <c r="A42" s="132" t="s">
        <v>173</v>
      </c>
      <c r="B42" s="3"/>
      <c r="C42" s="3"/>
      <c r="D42" s="3"/>
      <c r="E42" s="3"/>
      <c r="F42" s="3"/>
      <c r="G42" s="3"/>
      <c r="H42" s="3"/>
      <c r="I42" s="3"/>
      <c r="J42" s="2"/>
      <c r="K42" s="6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</row>
    <row r="49">
      <c r="M49" s="142">
        <v>-1.28</v>
      </c>
    </row>
    <row r="51">
      <c r="L51" s="141"/>
    </row>
  </sheetData>
  <mergeCells count="146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6:F36"/>
    <mergeCell ref="G36:H36"/>
    <mergeCell ref="I33:J33"/>
    <mergeCell ref="C34:J34"/>
    <mergeCell ref="C35:D35"/>
    <mergeCell ref="E35:F35"/>
    <mergeCell ref="G35:H35"/>
    <mergeCell ref="I35:J35"/>
    <mergeCell ref="I36:J36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E33:F33"/>
    <mergeCell ref="G33:H33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1.38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174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175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8" t="s">
        <v>24</v>
      </c>
      <c r="C8" s="151">
        <v>0.34930555555555554</v>
      </c>
      <c r="D8" s="5"/>
      <c r="E8" s="151">
        <v>0.5534722222222223</v>
      </c>
      <c r="F8" s="5"/>
      <c r="G8" s="151">
        <v>0.5986111111111111</v>
      </c>
      <c r="H8" s="5"/>
      <c r="I8" s="151">
        <v>0.7493055555555556</v>
      </c>
      <c r="J8" s="5"/>
      <c r="K8" s="12"/>
      <c r="L8" s="29">
        <v>6.0</v>
      </c>
      <c r="M8" s="13"/>
      <c r="N8" s="13"/>
      <c r="O8" s="13"/>
      <c r="P8" s="13"/>
      <c r="Q8" s="13"/>
      <c r="R8" s="13"/>
      <c r="S8" s="13"/>
    </row>
    <row r="9">
      <c r="A9" s="149">
        <v>2.0</v>
      </c>
      <c r="B9" s="159" t="s">
        <v>58</v>
      </c>
      <c r="C9" s="151">
        <v>0.34791666666666665</v>
      </c>
      <c r="D9" s="5"/>
      <c r="E9" s="151">
        <v>0.5541666666666667</v>
      </c>
      <c r="F9" s="5"/>
      <c r="G9" s="151">
        <v>0.5993055555555555</v>
      </c>
      <c r="H9" s="5"/>
      <c r="I9" s="151">
        <v>0.75</v>
      </c>
      <c r="J9" s="5"/>
      <c r="K9" s="12"/>
      <c r="L9" s="29">
        <v>9.0</v>
      </c>
      <c r="M9" s="29"/>
      <c r="N9" s="13"/>
      <c r="O9" s="13"/>
      <c r="P9" s="13"/>
      <c r="Q9" s="13"/>
      <c r="R9" s="13"/>
      <c r="S9" s="13"/>
    </row>
    <row r="10">
      <c r="A10" s="149">
        <v>3.0</v>
      </c>
      <c r="B10" s="155" t="s">
        <v>18</v>
      </c>
      <c r="C10" s="150">
        <v>0.35</v>
      </c>
      <c r="D10" s="5"/>
      <c r="E10" s="150">
        <v>0.5534722222222223</v>
      </c>
      <c r="F10" s="5"/>
      <c r="G10" s="150">
        <v>0.6</v>
      </c>
      <c r="H10" s="5"/>
      <c r="I10" s="150">
        <v>0.7465277777777778</v>
      </c>
      <c r="J10" s="5"/>
      <c r="K10" s="12"/>
      <c r="L10" s="29">
        <v>0.0</v>
      </c>
      <c r="M10" s="13"/>
      <c r="N10" s="13"/>
      <c r="O10" s="13"/>
      <c r="P10" s="13"/>
      <c r="Q10" s="13"/>
      <c r="R10" s="13"/>
      <c r="S10" s="13"/>
    </row>
    <row r="11">
      <c r="A11" s="149">
        <v>4.0</v>
      </c>
      <c r="B11" s="158" t="s">
        <v>19</v>
      </c>
      <c r="C11" s="150">
        <v>0.35</v>
      </c>
      <c r="D11" s="5"/>
      <c r="E11" s="150">
        <v>0.5611111111111111</v>
      </c>
      <c r="F11" s="5"/>
      <c r="G11" s="150">
        <v>0.6076388888888888</v>
      </c>
      <c r="H11" s="5"/>
      <c r="I11" s="150">
        <v>0.7625</v>
      </c>
      <c r="J11" s="5"/>
      <c r="K11" s="12"/>
      <c r="L11" s="29">
        <v>22.0</v>
      </c>
      <c r="M11" s="13"/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20</v>
      </c>
      <c r="C12" s="150">
        <v>0.35</v>
      </c>
      <c r="D12" s="5"/>
      <c r="E12" s="150">
        <v>0.5527777777777778</v>
      </c>
      <c r="F12" s="5"/>
      <c r="G12" s="150">
        <v>0.5993055555555555</v>
      </c>
      <c r="H12" s="5"/>
      <c r="I12" s="150">
        <v>0.7430555555555556</v>
      </c>
      <c r="J12" s="5"/>
      <c r="K12" s="12"/>
      <c r="L12" s="29">
        <v>0.0</v>
      </c>
      <c r="M12" s="13"/>
      <c r="N12" s="13"/>
      <c r="O12" s="13"/>
      <c r="P12" s="13"/>
      <c r="Q12" s="13"/>
      <c r="R12" s="13"/>
      <c r="S12" s="13"/>
    </row>
    <row r="13">
      <c r="A13" s="149">
        <v>6.0</v>
      </c>
      <c r="B13" s="155" t="s">
        <v>21</v>
      </c>
      <c r="C13" s="150">
        <v>0.3277777777777778</v>
      </c>
      <c r="D13" s="5"/>
      <c r="E13" s="147" t="s">
        <v>103</v>
      </c>
      <c r="F13" s="5"/>
      <c r="G13" s="147" t="s">
        <v>103</v>
      </c>
      <c r="H13" s="5"/>
      <c r="I13" s="150">
        <v>0.5006944444444444</v>
      </c>
      <c r="J13" s="5"/>
      <c r="K13" s="12"/>
      <c r="L13" s="29">
        <v>9.0</v>
      </c>
      <c r="M13" s="29"/>
      <c r="N13" s="29"/>
      <c r="O13" s="29"/>
      <c r="P13" s="13"/>
      <c r="Q13" s="13"/>
      <c r="R13" s="13"/>
      <c r="S13" s="13"/>
    </row>
    <row r="14">
      <c r="A14" s="149">
        <v>7.0</v>
      </c>
      <c r="B14" s="155" t="s">
        <v>23</v>
      </c>
      <c r="C14" s="147" t="s">
        <v>103</v>
      </c>
      <c r="D14" s="5"/>
      <c r="E14" s="147" t="s">
        <v>103</v>
      </c>
      <c r="F14" s="5"/>
      <c r="G14" s="147" t="s">
        <v>103</v>
      </c>
      <c r="H14" s="5"/>
      <c r="I14" s="147" t="s">
        <v>103</v>
      </c>
      <c r="J14" s="5"/>
      <c r="K14" s="12"/>
      <c r="L14" s="29"/>
      <c r="M14" s="13"/>
      <c r="N14" s="13"/>
      <c r="O14" s="13"/>
      <c r="P14" s="13"/>
      <c r="Q14" s="13"/>
      <c r="R14" s="13"/>
      <c r="S14" s="13"/>
    </row>
    <row r="15">
      <c r="A15" s="149">
        <v>8.0</v>
      </c>
      <c r="B15" s="158" t="s">
        <v>24</v>
      </c>
      <c r="C15" s="150">
        <v>0.34930555555555554</v>
      </c>
      <c r="D15" s="5"/>
      <c r="E15" s="151">
        <v>0.5520833333333334</v>
      </c>
      <c r="F15" s="5"/>
      <c r="G15" s="151">
        <v>0.5993055555555555</v>
      </c>
      <c r="H15" s="5"/>
      <c r="I15" s="151">
        <v>0.7458333333333333</v>
      </c>
      <c r="J15" s="5"/>
      <c r="K15" s="12"/>
      <c r="L15" s="29">
        <v>0.0</v>
      </c>
      <c r="M15" s="13"/>
      <c r="N15" s="93" t="s">
        <v>118</v>
      </c>
      <c r="O15" s="94">
        <v>0.03194444444444444</v>
      </c>
      <c r="P15" s="93"/>
      <c r="Q15" s="13"/>
      <c r="R15" s="13"/>
      <c r="S15" s="13"/>
    </row>
    <row r="16">
      <c r="A16" s="149">
        <v>9.0</v>
      </c>
      <c r="B16" s="159" t="s">
        <v>58</v>
      </c>
      <c r="C16" s="151">
        <v>0.35208333333333336</v>
      </c>
      <c r="D16" s="5"/>
      <c r="E16" s="151">
        <v>0.5590277777777778</v>
      </c>
      <c r="F16" s="5"/>
      <c r="G16" s="151">
        <v>0.6055555555555555</v>
      </c>
      <c r="H16" s="5"/>
      <c r="I16" s="151">
        <v>0.7506944444444444</v>
      </c>
      <c r="J16" s="5"/>
      <c r="K16" s="12"/>
      <c r="L16" s="29">
        <v>0.0</v>
      </c>
      <c r="M16" s="13"/>
      <c r="N16" s="13"/>
      <c r="O16" s="13"/>
      <c r="P16" s="13"/>
      <c r="Q16" s="13"/>
      <c r="R16" s="13"/>
      <c r="S16" s="13"/>
    </row>
    <row r="17">
      <c r="A17" s="149">
        <v>10.0</v>
      </c>
      <c r="B17" s="155" t="s">
        <v>18</v>
      </c>
      <c r="C17" s="150">
        <v>0.3486111111111111</v>
      </c>
      <c r="D17" s="5"/>
      <c r="E17" s="150">
        <v>0.5993055555555555</v>
      </c>
      <c r="F17" s="5"/>
      <c r="G17" s="150">
        <v>0.6465277777777778</v>
      </c>
      <c r="H17" s="5"/>
      <c r="I17" s="150">
        <v>0.7493055555555556</v>
      </c>
      <c r="J17" s="5"/>
      <c r="K17" s="12"/>
      <c r="L17" s="39">
        <v>0.0</v>
      </c>
      <c r="M17" s="29"/>
      <c r="N17" s="31"/>
      <c r="O17" s="29"/>
      <c r="P17" s="13"/>
      <c r="Q17" s="13"/>
      <c r="R17" s="13"/>
      <c r="S17" s="13"/>
    </row>
    <row r="18">
      <c r="A18" s="149">
        <v>11.0</v>
      </c>
      <c r="B18" s="158" t="s">
        <v>19</v>
      </c>
      <c r="C18" s="150">
        <v>0.35</v>
      </c>
      <c r="D18" s="5"/>
      <c r="E18" s="150">
        <v>0.5506944444444445</v>
      </c>
      <c r="F18" s="5"/>
      <c r="G18" s="150">
        <v>0.5979166666666667</v>
      </c>
      <c r="H18" s="5"/>
      <c r="I18" s="150">
        <v>0.7479166666666667</v>
      </c>
      <c r="J18" s="5"/>
      <c r="K18" s="12"/>
      <c r="L18" s="29">
        <v>0.0</v>
      </c>
      <c r="M18" s="13"/>
      <c r="N18" s="93" t="s">
        <v>118</v>
      </c>
      <c r="O18" s="94">
        <v>0.03194444444444444</v>
      </c>
      <c r="P18" s="93"/>
      <c r="Q18" s="13"/>
      <c r="R18" s="13"/>
      <c r="S18" s="13"/>
    </row>
    <row r="19">
      <c r="A19" s="149">
        <v>12.0</v>
      </c>
      <c r="B19" s="159" t="s">
        <v>20</v>
      </c>
      <c r="C19" s="150">
        <v>0.34930555555555554</v>
      </c>
      <c r="D19" s="5"/>
      <c r="E19" s="150">
        <v>0.55625</v>
      </c>
      <c r="F19" s="5"/>
      <c r="G19" s="150">
        <v>0.6034722222222222</v>
      </c>
      <c r="H19" s="5"/>
      <c r="I19" s="150">
        <v>0.7458333333333333</v>
      </c>
      <c r="J19" s="5"/>
      <c r="K19" s="12"/>
      <c r="L19" s="39">
        <v>0.0</v>
      </c>
      <c r="M19" s="29"/>
      <c r="N19" s="13"/>
      <c r="O19" s="13"/>
      <c r="P19" s="13"/>
      <c r="Q19" s="13"/>
      <c r="R19" s="13"/>
      <c r="S19" s="13"/>
    </row>
    <row r="20">
      <c r="A20" s="149">
        <v>13.0</v>
      </c>
      <c r="B20" s="159" t="s">
        <v>21</v>
      </c>
      <c r="C20" s="150">
        <v>0.3298611111111111</v>
      </c>
      <c r="D20" s="5"/>
      <c r="E20" s="147" t="s">
        <v>103</v>
      </c>
      <c r="F20" s="5"/>
      <c r="G20" s="147" t="s">
        <v>103</v>
      </c>
      <c r="H20" s="5"/>
      <c r="I20" s="150">
        <v>0.5020833333333333</v>
      </c>
      <c r="J20" s="5"/>
      <c r="K20" s="12"/>
      <c r="L20" s="29">
        <v>8.0</v>
      </c>
      <c r="M20" s="13"/>
      <c r="N20" s="13"/>
      <c r="O20" s="13"/>
      <c r="P20" s="13"/>
      <c r="Q20" s="13"/>
      <c r="R20" s="13"/>
      <c r="S20" s="13"/>
    </row>
    <row r="21">
      <c r="A21" s="149">
        <v>14.0</v>
      </c>
      <c r="B21" s="155" t="s">
        <v>23</v>
      </c>
      <c r="C21" s="147" t="s">
        <v>103</v>
      </c>
      <c r="D21" s="5"/>
      <c r="E21" s="147" t="s">
        <v>103</v>
      </c>
      <c r="F21" s="5"/>
      <c r="G21" s="147" t="s">
        <v>103</v>
      </c>
      <c r="H21" s="5"/>
      <c r="I21" s="147" t="s">
        <v>103</v>
      </c>
      <c r="J21" s="5"/>
      <c r="K21" s="12"/>
      <c r="L21" s="29"/>
      <c r="M21" s="13"/>
      <c r="N21" s="29"/>
      <c r="O21" s="35"/>
      <c r="P21" s="13"/>
      <c r="Q21" s="13"/>
      <c r="R21" s="13"/>
      <c r="S21" s="29"/>
    </row>
    <row r="22">
      <c r="A22" s="149">
        <v>15.0</v>
      </c>
      <c r="B22" s="158" t="s">
        <v>24</v>
      </c>
      <c r="C22" s="150">
        <v>0.3486111111111111</v>
      </c>
      <c r="D22" s="5"/>
      <c r="E22" s="151">
        <v>0.5618055555555556</v>
      </c>
      <c r="F22" s="5"/>
      <c r="G22" s="151">
        <v>0.6083333333333333</v>
      </c>
      <c r="H22" s="5"/>
      <c r="I22" s="150">
        <v>0.75</v>
      </c>
      <c r="J22" s="5"/>
      <c r="K22" s="12"/>
      <c r="L22" s="29">
        <v>6.0</v>
      </c>
      <c r="M22" s="29"/>
      <c r="N22" s="31"/>
      <c r="O22" s="29"/>
      <c r="P22" s="13"/>
      <c r="Q22" s="13"/>
      <c r="R22" s="13"/>
      <c r="S22" s="13"/>
    </row>
    <row r="23">
      <c r="A23" s="149">
        <v>16.0</v>
      </c>
      <c r="B23" s="159" t="s">
        <v>25</v>
      </c>
      <c r="C23" s="150">
        <v>0.35</v>
      </c>
      <c r="D23" s="5"/>
      <c r="E23" s="150">
        <v>0.5534722222222223</v>
      </c>
      <c r="F23" s="5"/>
      <c r="G23" s="150">
        <v>0.5986111111111111</v>
      </c>
      <c r="H23" s="5"/>
      <c r="I23" s="185">
        <v>0.7479166666666667</v>
      </c>
      <c r="J23" s="5"/>
      <c r="K23" s="12"/>
      <c r="L23" s="29">
        <v>0.0</v>
      </c>
      <c r="M23" s="13"/>
      <c r="N23" s="13"/>
      <c r="O23" s="13"/>
      <c r="P23" s="13"/>
      <c r="Q23" s="13"/>
      <c r="R23" s="13"/>
      <c r="S23" s="13"/>
    </row>
    <row r="24">
      <c r="A24" s="149">
        <v>17.0</v>
      </c>
      <c r="B24" s="155" t="s">
        <v>18</v>
      </c>
      <c r="C24" s="150">
        <v>0.35</v>
      </c>
      <c r="D24" s="5"/>
      <c r="E24" s="150">
        <v>0.5666666666666667</v>
      </c>
      <c r="F24" s="5"/>
      <c r="G24" s="150">
        <v>0.6145833333333334</v>
      </c>
      <c r="H24" s="5"/>
      <c r="I24" s="150">
        <v>0.7458333333333333</v>
      </c>
      <c r="J24" s="5"/>
      <c r="K24" s="12"/>
      <c r="L24" s="29">
        <v>0.0</v>
      </c>
      <c r="M24" s="13"/>
      <c r="N24" s="29"/>
      <c r="O24" s="29"/>
      <c r="P24" s="29"/>
      <c r="Q24" s="13"/>
      <c r="R24" s="13"/>
      <c r="S24" s="13"/>
    </row>
    <row r="25">
      <c r="A25" s="149">
        <v>18.0</v>
      </c>
      <c r="B25" s="158" t="s">
        <v>19</v>
      </c>
      <c r="C25" s="150">
        <v>0.34652777777777777</v>
      </c>
      <c r="D25" s="5"/>
      <c r="E25" s="150">
        <v>0.5625</v>
      </c>
      <c r="F25" s="5"/>
      <c r="G25" s="150">
        <v>0.6097222222222223</v>
      </c>
      <c r="H25" s="5"/>
      <c r="I25" s="150">
        <v>0.7527777777777778</v>
      </c>
      <c r="J25" s="5"/>
      <c r="K25" s="12"/>
      <c r="L25" s="29">
        <v>12.0</v>
      </c>
      <c r="M25" s="13"/>
      <c r="N25" s="13"/>
      <c r="O25" s="13"/>
      <c r="P25" s="13"/>
      <c r="Q25" s="13"/>
      <c r="R25" s="13"/>
      <c r="S25" s="13"/>
    </row>
    <row r="26">
      <c r="A26" s="149">
        <v>19.0</v>
      </c>
      <c r="B26" s="159" t="s">
        <v>20</v>
      </c>
      <c r="C26" s="150">
        <v>0.34930555555555554</v>
      </c>
      <c r="D26" s="5"/>
      <c r="E26" s="150">
        <v>0.5479166666666667</v>
      </c>
      <c r="F26" s="5"/>
      <c r="G26" s="150">
        <v>0.5951388888888889</v>
      </c>
      <c r="H26" s="5"/>
      <c r="I26" s="150">
        <v>0.7486111111111111</v>
      </c>
      <c r="J26" s="5"/>
      <c r="K26" s="40"/>
      <c r="L26" s="29">
        <v>0.0</v>
      </c>
      <c r="M26" s="29"/>
      <c r="N26" s="93" t="s">
        <v>118</v>
      </c>
      <c r="O26" s="94">
        <v>0.05</v>
      </c>
      <c r="P26" s="93"/>
      <c r="Q26" s="13"/>
      <c r="R26" s="13"/>
      <c r="S26" s="31" t="s">
        <v>176</v>
      </c>
    </row>
    <row r="27">
      <c r="A27" s="149">
        <v>20.0</v>
      </c>
      <c r="B27" s="159" t="s">
        <v>21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12"/>
      <c r="L27" s="29"/>
      <c r="M27" s="13"/>
      <c r="N27" s="13"/>
      <c r="O27" s="13"/>
      <c r="P27" s="13"/>
      <c r="Q27" s="13"/>
      <c r="R27" s="13"/>
      <c r="S27" s="13"/>
    </row>
    <row r="28">
      <c r="A28" s="149">
        <v>21.0</v>
      </c>
      <c r="B28" s="158" t="s">
        <v>23</v>
      </c>
      <c r="C28" s="147" t="s">
        <v>103</v>
      </c>
      <c r="D28" s="5"/>
      <c r="E28" s="147" t="s">
        <v>103</v>
      </c>
      <c r="F28" s="5"/>
      <c r="G28" s="147" t="s">
        <v>103</v>
      </c>
      <c r="H28" s="5"/>
      <c r="I28" s="147" t="s">
        <v>103</v>
      </c>
      <c r="J28" s="5"/>
      <c r="K28" s="12"/>
      <c r="L28" s="29"/>
      <c r="M28" s="13"/>
      <c r="N28" s="13"/>
      <c r="O28" s="13"/>
      <c r="P28" s="13"/>
      <c r="Q28" s="13"/>
      <c r="R28" s="13"/>
      <c r="S28" s="13"/>
    </row>
    <row r="29">
      <c r="A29" s="149">
        <v>22.0</v>
      </c>
      <c r="B29" s="159" t="s">
        <v>24</v>
      </c>
      <c r="C29" s="151">
        <v>0.3506944444444444</v>
      </c>
      <c r="D29" s="5"/>
      <c r="E29" s="151">
        <v>0.5583333333333333</v>
      </c>
      <c r="F29" s="5"/>
      <c r="G29" s="151">
        <v>0.6069444444444444</v>
      </c>
      <c r="H29" s="5"/>
      <c r="I29" s="151">
        <v>0.7430555555555556</v>
      </c>
      <c r="J29" s="5"/>
      <c r="K29" s="12"/>
      <c r="L29" s="29">
        <v>-10.0</v>
      </c>
      <c r="M29" s="13"/>
      <c r="N29" s="29"/>
      <c r="O29" s="35"/>
      <c r="P29" s="13"/>
      <c r="Q29" s="13"/>
      <c r="R29" s="13"/>
      <c r="S29" s="29"/>
    </row>
    <row r="30">
      <c r="A30" s="149">
        <v>23.0</v>
      </c>
      <c r="B30" s="159" t="s">
        <v>58</v>
      </c>
      <c r="C30" s="151">
        <v>0.34791666666666665</v>
      </c>
      <c r="D30" s="5"/>
      <c r="E30" s="151">
        <v>0.5576388888888889</v>
      </c>
      <c r="F30" s="5"/>
      <c r="G30" s="151">
        <v>0.6055555555555555</v>
      </c>
      <c r="H30" s="5"/>
      <c r="I30" s="151">
        <v>0.7458333333333333</v>
      </c>
      <c r="J30" s="5"/>
      <c r="K30" s="12"/>
      <c r="L30" s="29">
        <v>0.0</v>
      </c>
      <c r="M30" s="13"/>
      <c r="N30" s="13"/>
      <c r="O30" s="13"/>
      <c r="P30" s="13"/>
      <c r="Q30" s="13"/>
      <c r="R30" s="13"/>
      <c r="S30" s="13"/>
    </row>
    <row r="31">
      <c r="A31" s="149">
        <v>24.0</v>
      </c>
      <c r="B31" s="158" t="s">
        <v>18</v>
      </c>
      <c r="C31" s="151">
        <v>0.34791666666666665</v>
      </c>
      <c r="D31" s="5"/>
      <c r="E31" s="150">
        <v>0.5611111111111111</v>
      </c>
      <c r="F31" s="5"/>
      <c r="G31" s="150">
        <v>0.6069444444444444</v>
      </c>
      <c r="H31" s="5"/>
      <c r="I31" s="150">
        <v>0.7444444444444445</v>
      </c>
      <c r="J31" s="5"/>
      <c r="K31" s="12"/>
      <c r="L31" s="29">
        <v>0.0</v>
      </c>
      <c r="M31" s="13"/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19</v>
      </c>
      <c r="C32" s="150">
        <v>0.35</v>
      </c>
      <c r="D32" s="5"/>
      <c r="E32" s="150">
        <v>0.5680555555555555</v>
      </c>
      <c r="F32" s="5"/>
      <c r="G32" s="150">
        <v>0.6118055555555556</v>
      </c>
      <c r="H32" s="5"/>
      <c r="I32" s="150">
        <v>0.75</v>
      </c>
      <c r="J32" s="5"/>
      <c r="K32" s="12"/>
      <c r="L32" s="29">
        <v>8.0</v>
      </c>
      <c r="M32" s="13"/>
      <c r="N32" s="29"/>
      <c r="O32" s="29"/>
      <c r="P32" s="29"/>
      <c r="Q32" s="13"/>
      <c r="R32" s="13"/>
      <c r="S32" s="13"/>
    </row>
    <row r="33">
      <c r="A33" s="149">
        <v>26.0</v>
      </c>
      <c r="B33" s="159" t="s">
        <v>20</v>
      </c>
      <c r="C33" s="150">
        <v>0.34930555555555554</v>
      </c>
      <c r="D33" s="5"/>
      <c r="E33" s="150">
        <v>0.5701388888888889</v>
      </c>
      <c r="F33" s="5"/>
      <c r="G33" s="150">
        <v>0.61875</v>
      </c>
      <c r="H33" s="5"/>
      <c r="I33" s="150">
        <v>0.7451388888888889</v>
      </c>
      <c r="J33" s="5"/>
      <c r="K33" s="12"/>
      <c r="L33" s="29">
        <v>0.0</v>
      </c>
      <c r="M33" s="29"/>
      <c r="N33" s="29"/>
      <c r="O33" s="35"/>
      <c r="P33" s="13"/>
      <c r="Q33" s="13"/>
      <c r="R33" s="13"/>
      <c r="S33" s="13"/>
    </row>
    <row r="34">
      <c r="A34" s="149">
        <v>27.0</v>
      </c>
      <c r="B34" s="159" t="s">
        <v>21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12"/>
      <c r="L34" s="29"/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149">
        <v>28.0</v>
      </c>
      <c r="B35" s="158" t="s">
        <v>23</v>
      </c>
      <c r="C35" s="181" t="s">
        <v>103</v>
      </c>
      <c r="D35" s="5"/>
      <c r="E35" s="181" t="s">
        <v>103</v>
      </c>
      <c r="F35" s="5"/>
      <c r="G35" s="181" t="s">
        <v>103</v>
      </c>
      <c r="H35" s="5"/>
      <c r="I35" s="181" t="s">
        <v>103</v>
      </c>
      <c r="J35" s="5"/>
      <c r="K35" s="13"/>
      <c r="L35" s="29"/>
      <c r="M35" s="46"/>
      <c r="N35" s="29"/>
      <c r="O35" s="35"/>
      <c r="P35" s="13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24</v>
      </c>
      <c r="C36" s="151">
        <v>0.3506944444444444</v>
      </c>
      <c r="D36" s="5"/>
      <c r="E36" s="150">
        <v>0.5527777777777778</v>
      </c>
      <c r="F36" s="5"/>
      <c r="G36" s="150">
        <v>0.5972222222222222</v>
      </c>
      <c r="H36" s="5"/>
      <c r="I36" s="150">
        <v>0.7520833333333333</v>
      </c>
      <c r="J36" s="5"/>
      <c r="K36" s="12"/>
      <c r="L36" s="29">
        <v>9.0</v>
      </c>
      <c r="M36" s="13"/>
      <c r="N36" s="93" t="s">
        <v>118</v>
      </c>
      <c r="O36" s="94">
        <v>0.06180555555555556</v>
      </c>
      <c r="P36" s="93">
        <v>-10.0</v>
      </c>
      <c r="Q36" s="165"/>
      <c r="R36" s="165"/>
      <c r="S36" s="165"/>
    </row>
    <row r="37">
      <c r="A37" s="163">
        <v>30.0</v>
      </c>
      <c r="B37" s="159" t="s">
        <v>58</v>
      </c>
      <c r="C37" s="151">
        <v>0.34930555555555554</v>
      </c>
      <c r="D37" s="5"/>
      <c r="E37" s="151">
        <v>0.5652777777777778</v>
      </c>
      <c r="F37" s="5"/>
      <c r="G37" s="151">
        <v>0.6118055555555556</v>
      </c>
      <c r="H37" s="5"/>
      <c r="I37" s="151">
        <v>0.7506944444444444</v>
      </c>
      <c r="J37" s="5"/>
      <c r="K37" s="12"/>
      <c r="L37" s="29">
        <v>7.0</v>
      </c>
      <c r="M37" s="13"/>
      <c r="N37" s="93" t="s">
        <v>118</v>
      </c>
      <c r="O37" s="94">
        <v>0.06666666666666667</v>
      </c>
      <c r="P37" s="93">
        <v>-10.0</v>
      </c>
      <c r="Q37" s="13"/>
      <c r="R37" s="13"/>
      <c r="S37" s="13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12"/>
      <c r="L38" s="13"/>
      <c r="M38" s="13"/>
      <c r="N38" s="13"/>
      <c r="O38" s="13"/>
      <c r="P38" s="13"/>
      <c r="Q38" s="13"/>
      <c r="R38" s="13"/>
      <c r="S38" s="13"/>
    </row>
    <row r="39">
      <c r="A39" s="107" t="s">
        <v>177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35"/>
      <c r="M39" s="13"/>
      <c r="N39" s="35">
        <v>0.44375</v>
      </c>
      <c r="O39" s="13"/>
      <c r="P39" s="13"/>
      <c r="Q39" s="13"/>
      <c r="R39" s="13"/>
      <c r="S39" s="13"/>
    </row>
    <row r="40">
      <c r="A40" s="107" t="s">
        <v>178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N40" s="98" t="s">
        <v>179</v>
      </c>
    </row>
    <row r="41">
      <c r="A41" s="132" t="s">
        <v>180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>
      <c r="A43" s="139" t="s">
        <v>36</v>
      </c>
      <c r="B43" s="137"/>
      <c r="C43" s="140" t="s">
        <v>37</v>
      </c>
      <c r="D43" s="137"/>
      <c r="F43" s="137"/>
      <c r="H43" s="137"/>
      <c r="I43" s="137"/>
      <c r="J43" s="138"/>
      <c r="K43" s="6"/>
    </row>
    <row r="44">
      <c r="A44" s="58"/>
      <c r="B44" s="59"/>
      <c r="C44" s="59"/>
      <c r="D44" s="59"/>
      <c r="E44" s="11"/>
      <c r="F44" s="59"/>
      <c r="G44" s="11"/>
      <c r="H44" s="59"/>
      <c r="I44" s="59"/>
      <c r="J44" s="60"/>
      <c r="K44" s="6"/>
    </row>
  </sheetData>
  <mergeCells count="143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4:E44"/>
    <mergeCell ref="F44:G44"/>
    <mergeCell ref="A38:J38"/>
    <mergeCell ref="A39:J39"/>
    <mergeCell ref="A40:J40"/>
    <mergeCell ref="A41:J41"/>
    <mergeCell ref="F42:G42"/>
    <mergeCell ref="D43:E43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6:D36"/>
    <mergeCell ref="E36:F36"/>
    <mergeCell ref="G36:H36"/>
    <mergeCell ref="I36:J36"/>
    <mergeCell ref="C37:D37"/>
    <mergeCell ref="E37:F37"/>
    <mergeCell ref="G37:H37"/>
    <mergeCell ref="I37:J37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9.75"/>
    <col customWidth="1" min="14" max="14" width="17.75"/>
    <col customWidth="1" min="16" max="16" width="9.5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</row>
    <row r="4">
      <c r="A4" s="66" t="s">
        <v>5</v>
      </c>
      <c r="B4" s="67" t="s">
        <v>181</v>
      </c>
      <c r="C4" s="15"/>
      <c r="D4" s="15"/>
      <c r="E4" s="15"/>
      <c r="F4" s="15"/>
      <c r="G4" s="68"/>
      <c r="H4" s="3"/>
      <c r="I4" s="68"/>
      <c r="J4" s="69"/>
      <c r="K4" s="6"/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175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13"/>
      <c r="M7" s="13"/>
      <c r="N7" s="13"/>
      <c r="O7" s="13"/>
      <c r="P7" s="13"/>
      <c r="Q7" s="13"/>
      <c r="R7" s="13"/>
    </row>
    <row r="8">
      <c r="A8" s="148">
        <v>1.0</v>
      </c>
      <c r="B8" s="158" t="s">
        <v>24</v>
      </c>
      <c r="C8" s="151">
        <v>0.3506944444444444</v>
      </c>
      <c r="D8" s="5"/>
      <c r="E8" s="151">
        <v>0.5416666666666666</v>
      </c>
      <c r="F8" s="5"/>
      <c r="G8" s="151">
        <v>0.5840277777777778</v>
      </c>
      <c r="H8" s="5"/>
      <c r="I8" s="181" t="s">
        <v>103</v>
      </c>
      <c r="J8" s="5"/>
      <c r="K8" s="12"/>
      <c r="L8" s="29">
        <v>0.0</v>
      </c>
      <c r="M8" s="29">
        <v>30.0</v>
      </c>
      <c r="N8" s="13"/>
      <c r="O8" s="13"/>
      <c r="P8" s="13"/>
      <c r="Q8" s="13"/>
      <c r="R8" s="13"/>
    </row>
    <row r="9">
      <c r="A9" s="149">
        <v>2.0</v>
      </c>
      <c r="B9" s="159" t="s">
        <v>58</v>
      </c>
      <c r="C9" s="151">
        <v>0.34930555555555554</v>
      </c>
      <c r="D9" s="5"/>
      <c r="E9" s="151">
        <v>0.5423611111111111</v>
      </c>
      <c r="F9" s="5"/>
      <c r="G9" s="151">
        <v>0.5826388888888889</v>
      </c>
      <c r="H9" s="5"/>
      <c r="I9" s="151">
        <v>0.75</v>
      </c>
      <c r="J9" s="5"/>
      <c r="K9" s="86"/>
      <c r="L9" s="29">
        <v>9.0</v>
      </c>
      <c r="M9" s="29">
        <v>30.0</v>
      </c>
      <c r="N9" s="13"/>
      <c r="O9" s="13"/>
      <c r="P9" s="13"/>
      <c r="Q9" s="13"/>
      <c r="R9" s="13"/>
    </row>
    <row r="10">
      <c r="A10" s="149">
        <v>3.0</v>
      </c>
      <c r="B10" s="155" t="s">
        <v>18</v>
      </c>
      <c r="C10" s="150">
        <v>0.35</v>
      </c>
      <c r="D10" s="5"/>
      <c r="E10" s="150">
        <v>0.5416666666666666</v>
      </c>
      <c r="F10" s="5"/>
      <c r="G10" s="150">
        <v>0.5819444444444445</v>
      </c>
      <c r="H10" s="5"/>
      <c r="I10" s="150">
        <v>0.7451388888888889</v>
      </c>
      <c r="J10" s="5"/>
      <c r="K10" s="12"/>
      <c r="L10" s="29">
        <v>0.0</v>
      </c>
      <c r="M10" s="29">
        <v>30.0</v>
      </c>
      <c r="N10" s="13"/>
      <c r="O10" s="13"/>
      <c r="P10" s="13"/>
      <c r="Q10" s="13"/>
      <c r="R10" s="13"/>
    </row>
    <row r="11">
      <c r="A11" s="149">
        <v>4.0</v>
      </c>
      <c r="B11" s="158" t="s">
        <v>19</v>
      </c>
      <c r="C11" s="150">
        <v>0.35</v>
      </c>
      <c r="D11" s="5"/>
      <c r="E11" s="150">
        <v>0.5416666666666666</v>
      </c>
      <c r="F11" s="5"/>
      <c r="G11" s="150">
        <v>0.5833333333333334</v>
      </c>
      <c r="H11" s="5"/>
      <c r="I11" s="150">
        <v>0.7395833333333334</v>
      </c>
      <c r="J11" s="5"/>
      <c r="K11" s="12"/>
      <c r="L11" s="29">
        <v>-9.0</v>
      </c>
      <c r="M11" s="29">
        <v>30.0</v>
      </c>
      <c r="N11" s="13"/>
      <c r="O11" s="13"/>
      <c r="P11" s="13"/>
      <c r="Q11" s="13"/>
      <c r="R11" s="13"/>
    </row>
    <row r="12">
      <c r="A12" s="149">
        <v>5.0</v>
      </c>
      <c r="B12" s="155" t="s">
        <v>20</v>
      </c>
      <c r="C12" s="150">
        <v>0.35138888888888886</v>
      </c>
      <c r="D12" s="5"/>
      <c r="E12" s="150">
        <v>0.5416666666666666</v>
      </c>
      <c r="F12" s="5"/>
      <c r="G12" s="150">
        <v>0.5798611111111112</v>
      </c>
      <c r="H12" s="5"/>
      <c r="I12" s="150">
        <v>0.7291666666666666</v>
      </c>
      <c r="J12" s="5"/>
      <c r="K12" s="12"/>
      <c r="L12" s="29">
        <v>-21.0</v>
      </c>
      <c r="M12" s="29">
        <v>30.0</v>
      </c>
      <c r="N12" s="13"/>
      <c r="O12" s="13"/>
      <c r="P12" s="13"/>
      <c r="Q12" s="13"/>
      <c r="R12" s="13"/>
    </row>
    <row r="13">
      <c r="A13" s="149">
        <v>6.0</v>
      </c>
      <c r="B13" s="155" t="s">
        <v>21</v>
      </c>
      <c r="C13" s="147" t="s">
        <v>161</v>
      </c>
      <c r="D13" s="15"/>
      <c r="E13" s="15"/>
      <c r="F13" s="15"/>
      <c r="G13" s="15"/>
      <c r="H13" s="15"/>
      <c r="I13" s="15"/>
      <c r="J13" s="5"/>
      <c r="K13" s="12"/>
      <c r="L13" s="29" t="s">
        <v>182</v>
      </c>
      <c r="M13" s="29"/>
      <c r="N13" s="29"/>
      <c r="O13" s="37"/>
      <c r="P13" s="35"/>
      <c r="Q13" s="29"/>
      <c r="R13" s="13"/>
    </row>
    <row r="14">
      <c r="A14" s="149">
        <v>7.0</v>
      </c>
      <c r="B14" s="155" t="s">
        <v>23</v>
      </c>
      <c r="C14" s="147" t="s">
        <v>103</v>
      </c>
      <c r="D14" s="5"/>
      <c r="E14" s="147" t="s">
        <v>103</v>
      </c>
      <c r="F14" s="5"/>
      <c r="G14" s="147" t="s">
        <v>103</v>
      </c>
      <c r="H14" s="5"/>
      <c r="I14" s="147" t="s">
        <v>103</v>
      </c>
      <c r="J14" s="5"/>
      <c r="K14" s="12"/>
      <c r="L14" s="29"/>
      <c r="M14" s="29"/>
      <c r="N14" s="13"/>
      <c r="O14" s="13"/>
      <c r="P14" s="13"/>
      <c r="Q14" s="13"/>
      <c r="R14" s="13"/>
    </row>
    <row r="15">
      <c r="A15" s="149">
        <v>8.0</v>
      </c>
      <c r="B15" s="158" t="s">
        <v>24</v>
      </c>
      <c r="C15" s="150">
        <v>0.34930555555555554</v>
      </c>
      <c r="D15" s="5"/>
      <c r="E15" s="151">
        <v>0.5423611111111111</v>
      </c>
      <c r="F15" s="5"/>
      <c r="G15" s="151">
        <v>0.5805555555555556</v>
      </c>
      <c r="H15" s="5"/>
      <c r="I15" s="151">
        <v>0.7465277777777778</v>
      </c>
      <c r="J15" s="5"/>
      <c r="K15" s="12"/>
      <c r="L15" s="29">
        <v>7.0</v>
      </c>
      <c r="M15" s="29">
        <v>30.0</v>
      </c>
      <c r="N15" s="93" t="s">
        <v>183</v>
      </c>
      <c r="O15" s="189">
        <v>-0.1875</v>
      </c>
      <c r="P15" s="94">
        <v>0.1361111111111111</v>
      </c>
      <c r="Q15" s="13"/>
      <c r="R15" s="13"/>
    </row>
    <row r="16">
      <c r="A16" s="149">
        <v>9.0</v>
      </c>
      <c r="B16" s="159" t="s">
        <v>58</v>
      </c>
      <c r="C16" s="151">
        <v>0.35208333333333336</v>
      </c>
      <c r="D16" s="5"/>
      <c r="E16" s="151">
        <v>0.5388888888888889</v>
      </c>
      <c r="F16" s="5"/>
      <c r="G16" s="151">
        <v>0.5770833333333333</v>
      </c>
      <c r="H16" s="5"/>
      <c r="I16" s="151">
        <v>0.7506944444444444</v>
      </c>
      <c r="J16" s="5"/>
      <c r="K16" s="12"/>
      <c r="L16" s="29">
        <v>9.0</v>
      </c>
      <c r="M16" s="29">
        <v>30.0</v>
      </c>
      <c r="N16" s="13"/>
      <c r="O16" s="13"/>
      <c r="P16" s="13"/>
      <c r="Q16" s="13"/>
      <c r="R16" s="13"/>
    </row>
    <row r="17">
      <c r="A17" s="149">
        <v>10.0</v>
      </c>
      <c r="B17" s="155" t="s">
        <v>18</v>
      </c>
      <c r="C17" s="150">
        <v>0.3486111111111111</v>
      </c>
      <c r="D17" s="5"/>
      <c r="E17" s="150">
        <v>0.5493055555555556</v>
      </c>
      <c r="F17" s="5"/>
      <c r="G17" s="150">
        <v>0.59375</v>
      </c>
      <c r="H17" s="5"/>
      <c r="I17" s="150">
        <v>0.7493055555555556</v>
      </c>
      <c r="J17" s="5"/>
      <c r="K17" s="12"/>
      <c r="L17" s="29">
        <v>0.0</v>
      </c>
      <c r="M17" s="29">
        <v>30.0</v>
      </c>
      <c r="N17" s="13"/>
      <c r="O17" s="13"/>
      <c r="P17" s="13"/>
      <c r="Q17" s="13"/>
      <c r="R17" s="13"/>
    </row>
    <row r="18">
      <c r="A18" s="149">
        <v>11.0</v>
      </c>
      <c r="B18" s="158" t="s">
        <v>19</v>
      </c>
      <c r="C18" s="150">
        <v>0.3506944444444444</v>
      </c>
      <c r="D18" s="5"/>
      <c r="E18" s="150">
        <v>0.5416666666666666</v>
      </c>
      <c r="F18" s="5"/>
      <c r="G18" s="150">
        <v>0.5819444444444445</v>
      </c>
      <c r="H18" s="5"/>
      <c r="I18" s="150">
        <v>0.7048611111111112</v>
      </c>
      <c r="J18" s="5"/>
      <c r="K18" s="12"/>
      <c r="L18" s="29">
        <v>-28.0</v>
      </c>
      <c r="M18" s="29"/>
      <c r="N18" s="93" t="s">
        <v>183</v>
      </c>
      <c r="O18" s="189">
        <v>-0.20694444444444443</v>
      </c>
      <c r="P18" s="94">
        <v>0.1840277777777778</v>
      </c>
      <c r="Q18" s="13"/>
      <c r="R18" s="13"/>
    </row>
    <row r="19">
      <c r="A19" s="149">
        <v>12.0</v>
      </c>
      <c r="B19" s="159" t="s">
        <v>20</v>
      </c>
      <c r="C19" s="150">
        <v>0.34930555555555554</v>
      </c>
      <c r="D19" s="5"/>
      <c r="E19" s="150">
        <v>0.5416666666666666</v>
      </c>
      <c r="F19" s="5"/>
      <c r="G19" s="150">
        <v>0.5833333333333334</v>
      </c>
      <c r="H19" s="5"/>
      <c r="I19" s="150">
        <v>0.7083333333333334</v>
      </c>
      <c r="J19" s="5"/>
      <c r="K19" s="12"/>
      <c r="L19" s="29">
        <v>-30.0</v>
      </c>
      <c r="M19" s="29"/>
      <c r="N19" s="29"/>
      <c r="O19" s="37"/>
      <c r="P19" s="35"/>
      <c r="Q19" s="13"/>
      <c r="R19" s="13"/>
    </row>
    <row r="20">
      <c r="A20" s="149">
        <v>13.0</v>
      </c>
      <c r="B20" s="159" t="s">
        <v>21</v>
      </c>
      <c r="C20" s="150">
        <v>0.3298611111111111</v>
      </c>
      <c r="D20" s="5"/>
      <c r="E20" s="147" t="s">
        <v>103</v>
      </c>
      <c r="F20" s="5"/>
      <c r="G20" s="147" t="s">
        <v>103</v>
      </c>
      <c r="H20" s="5"/>
      <c r="I20" s="150">
        <v>0.5027777777777778</v>
      </c>
      <c r="J20" s="5"/>
      <c r="K20" s="12"/>
      <c r="L20" s="29">
        <v>9.0</v>
      </c>
      <c r="M20" s="29"/>
      <c r="N20" s="29"/>
      <c r="O20" s="29"/>
      <c r="P20" s="35"/>
      <c r="Q20" s="13"/>
      <c r="R20" s="13"/>
    </row>
    <row r="21">
      <c r="A21" s="149">
        <v>14.0</v>
      </c>
      <c r="B21" s="155" t="s">
        <v>23</v>
      </c>
      <c r="C21" s="147" t="s">
        <v>103</v>
      </c>
      <c r="D21" s="5"/>
      <c r="E21" s="181" t="s">
        <v>103</v>
      </c>
      <c r="F21" s="5"/>
      <c r="G21" s="181" t="s">
        <v>103</v>
      </c>
      <c r="H21" s="5"/>
      <c r="I21" s="147" t="s">
        <v>103</v>
      </c>
      <c r="J21" s="5"/>
      <c r="K21" s="46"/>
      <c r="L21" s="29"/>
      <c r="M21" s="29"/>
      <c r="N21" s="13"/>
      <c r="O21" s="13"/>
      <c r="P21" s="13"/>
      <c r="Q21" s="13"/>
      <c r="R21" s="13"/>
    </row>
    <row r="22">
      <c r="A22" s="149">
        <v>15.0</v>
      </c>
      <c r="B22" s="158" t="s">
        <v>24</v>
      </c>
      <c r="C22" s="150">
        <v>0.3486111111111111</v>
      </c>
      <c r="D22" s="5"/>
      <c r="E22" s="151">
        <v>0.5055555555555555</v>
      </c>
      <c r="F22" s="5"/>
      <c r="G22" s="181" t="s">
        <v>103</v>
      </c>
      <c r="H22" s="5"/>
      <c r="I22" s="150"/>
      <c r="J22" s="5"/>
      <c r="K22" s="12"/>
      <c r="L22" s="190" t="s">
        <v>184</v>
      </c>
      <c r="M22" s="29"/>
      <c r="N22" s="29"/>
      <c r="O22" s="31"/>
      <c r="P22" s="35"/>
      <c r="Q22" s="35"/>
      <c r="R22" s="13"/>
    </row>
    <row r="23">
      <c r="A23" s="149">
        <v>16.0</v>
      </c>
      <c r="B23" s="159" t="s">
        <v>25</v>
      </c>
      <c r="C23" s="150">
        <v>0.34930555555555554</v>
      </c>
      <c r="D23" s="5"/>
      <c r="E23" s="150">
        <v>0.54375</v>
      </c>
      <c r="F23" s="5"/>
      <c r="G23" s="150">
        <v>0.58125</v>
      </c>
      <c r="H23" s="5"/>
      <c r="I23" s="150">
        <v>0.7486111111111111</v>
      </c>
      <c r="J23" s="5"/>
      <c r="K23" s="12"/>
      <c r="L23" s="29">
        <v>11.0</v>
      </c>
      <c r="M23" s="29">
        <v>30.0</v>
      </c>
      <c r="N23" s="13"/>
      <c r="O23" s="13"/>
      <c r="P23" s="13"/>
      <c r="Q23" s="35"/>
      <c r="R23" s="13"/>
    </row>
    <row r="24">
      <c r="A24" s="149">
        <v>17.0</v>
      </c>
      <c r="B24" s="155" t="s">
        <v>18</v>
      </c>
      <c r="C24" s="150">
        <v>0.35</v>
      </c>
      <c r="D24" s="5"/>
      <c r="E24" s="150">
        <v>0.5430555555555555</v>
      </c>
      <c r="F24" s="5"/>
      <c r="G24" s="150">
        <v>0.5826388888888889</v>
      </c>
      <c r="H24" s="5"/>
      <c r="I24" s="150">
        <v>0.7465277777777778</v>
      </c>
      <c r="J24" s="5"/>
      <c r="K24" s="12"/>
      <c r="L24" s="29">
        <v>0.0</v>
      </c>
      <c r="M24" s="29">
        <v>30.0</v>
      </c>
      <c r="N24" s="29"/>
      <c r="O24" s="13"/>
      <c r="P24" s="35"/>
      <c r="Q24" s="35"/>
      <c r="R24" s="29"/>
    </row>
    <row r="25">
      <c r="A25" s="149">
        <v>18.0</v>
      </c>
      <c r="B25" s="158" t="s">
        <v>19</v>
      </c>
      <c r="C25" s="150">
        <v>0.34652777777777777</v>
      </c>
      <c r="D25" s="5"/>
      <c r="E25" s="150">
        <v>0.5416666666666666</v>
      </c>
      <c r="F25" s="5"/>
      <c r="G25" s="150">
        <v>0.5833333333333334</v>
      </c>
      <c r="H25" s="5"/>
      <c r="I25" s="150">
        <v>0.7375</v>
      </c>
      <c r="J25" s="5"/>
      <c r="K25" s="38"/>
      <c r="L25" s="29">
        <v>-7.0</v>
      </c>
      <c r="M25" s="29">
        <v>30.0</v>
      </c>
      <c r="N25" s="29"/>
      <c r="O25" s="37"/>
      <c r="P25" s="35"/>
      <c r="Q25" s="35"/>
      <c r="R25" s="13"/>
    </row>
    <row r="26">
      <c r="A26" s="149">
        <v>19.0</v>
      </c>
      <c r="B26" s="159" t="s">
        <v>20</v>
      </c>
      <c r="C26" s="150">
        <v>0.3486111111111111</v>
      </c>
      <c r="D26" s="5"/>
      <c r="E26" s="150">
        <v>0.5409722222222222</v>
      </c>
      <c r="F26" s="5"/>
      <c r="G26" s="150">
        <v>0.5819444444444445</v>
      </c>
      <c r="H26" s="5"/>
      <c r="I26" s="150">
        <v>0.7354166666666667</v>
      </c>
      <c r="J26" s="5"/>
      <c r="K26" s="40"/>
      <c r="L26" s="29">
        <v>-14.0</v>
      </c>
      <c r="M26" s="29">
        <v>30.0</v>
      </c>
      <c r="N26" s="93" t="s">
        <v>183</v>
      </c>
      <c r="O26" s="189">
        <v>-0.46041666666666664</v>
      </c>
      <c r="P26" s="94">
        <v>0.3298611111111111</v>
      </c>
      <c r="Q26" s="13"/>
      <c r="R26" s="13"/>
    </row>
    <row r="27">
      <c r="A27" s="149">
        <v>20.0</v>
      </c>
      <c r="B27" s="159" t="s">
        <v>21</v>
      </c>
      <c r="C27" s="150">
        <v>0.4215277777777778</v>
      </c>
      <c r="D27" s="5"/>
      <c r="E27" s="147" t="s">
        <v>103</v>
      </c>
      <c r="F27" s="5"/>
      <c r="G27" s="147" t="s">
        <v>103</v>
      </c>
      <c r="H27" s="5"/>
      <c r="I27" s="150">
        <v>0.5034722222222222</v>
      </c>
      <c r="J27" s="5"/>
      <c r="K27" s="12"/>
      <c r="L27" s="37">
        <v>-0.08472222222222223</v>
      </c>
      <c r="M27" s="29"/>
      <c r="N27" s="97">
        <v>-0.08472222222222223</v>
      </c>
      <c r="O27" s="13"/>
      <c r="P27" s="13"/>
      <c r="Q27" s="13"/>
      <c r="R27" s="29"/>
    </row>
    <row r="28">
      <c r="A28" s="149">
        <v>21.0</v>
      </c>
      <c r="B28" s="158" t="s">
        <v>23</v>
      </c>
      <c r="C28" s="154" t="s">
        <v>103</v>
      </c>
      <c r="D28" s="5"/>
      <c r="E28" s="154" t="s">
        <v>103</v>
      </c>
      <c r="F28" s="5"/>
      <c r="G28" s="154" t="s">
        <v>103</v>
      </c>
      <c r="H28" s="5"/>
      <c r="I28" s="154" t="s">
        <v>103</v>
      </c>
      <c r="J28" s="5"/>
      <c r="K28" s="12"/>
      <c r="L28" s="29"/>
      <c r="M28" s="29"/>
      <c r="N28" s="31"/>
      <c r="O28" s="191"/>
      <c r="P28" s="97"/>
      <c r="Q28" s="13"/>
      <c r="R28" s="13"/>
      <c r="T28" s="41"/>
    </row>
    <row r="29">
      <c r="A29" s="149">
        <v>22.0</v>
      </c>
      <c r="B29" s="159" t="s">
        <v>24</v>
      </c>
      <c r="C29" s="150">
        <v>0.3506944444444444</v>
      </c>
      <c r="D29" s="5"/>
      <c r="E29" s="150">
        <v>0.5569444444444445</v>
      </c>
      <c r="F29" s="5"/>
      <c r="G29" s="150">
        <v>0.5958333333333333</v>
      </c>
      <c r="H29" s="5"/>
      <c r="I29" s="150">
        <v>0.7423611111111111</v>
      </c>
      <c r="J29" s="5"/>
      <c r="K29" s="12"/>
      <c r="L29" s="29">
        <v>0.0</v>
      </c>
      <c r="M29" s="29">
        <v>30.0</v>
      </c>
      <c r="N29" s="13"/>
      <c r="O29" s="13"/>
      <c r="P29" s="13"/>
      <c r="Q29" s="13"/>
      <c r="R29" s="13"/>
    </row>
    <row r="30">
      <c r="A30" s="149">
        <v>23.0</v>
      </c>
      <c r="B30" s="159" t="s">
        <v>58</v>
      </c>
      <c r="C30" s="151">
        <v>0.34791666666666665</v>
      </c>
      <c r="D30" s="5"/>
      <c r="E30" s="151">
        <v>0.5416666666666666</v>
      </c>
      <c r="F30" s="5"/>
      <c r="G30" s="151">
        <v>0.58125</v>
      </c>
      <c r="H30" s="5"/>
      <c r="I30" s="151">
        <v>0.7458333333333333</v>
      </c>
      <c r="J30" s="5"/>
      <c r="K30" s="12"/>
      <c r="L30" s="29">
        <v>6.0</v>
      </c>
      <c r="M30" s="29">
        <v>30.0</v>
      </c>
      <c r="N30" s="29"/>
      <c r="O30" s="37"/>
      <c r="P30" s="35"/>
      <c r="Q30" s="13"/>
      <c r="R30" s="13"/>
    </row>
    <row r="31">
      <c r="A31" s="149">
        <v>24.0</v>
      </c>
      <c r="B31" s="158" t="s">
        <v>18</v>
      </c>
      <c r="C31" s="150">
        <v>0.34791666666666665</v>
      </c>
      <c r="D31" s="5"/>
      <c r="E31" s="150">
        <v>0.5416666666666666</v>
      </c>
      <c r="F31" s="5"/>
      <c r="G31" s="150">
        <v>0.5819444444444445</v>
      </c>
      <c r="H31" s="5"/>
      <c r="I31" s="150">
        <v>0.7444444444444445</v>
      </c>
      <c r="J31" s="5"/>
      <c r="K31" s="12"/>
      <c r="L31" s="29">
        <v>0.0</v>
      </c>
      <c r="M31" s="29">
        <v>30.0</v>
      </c>
      <c r="N31" s="29"/>
      <c r="O31" s="31"/>
      <c r="P31" s="35"/>
      <c r="Q31" s="13"/>
      <c r="R31" s="13"/>
    </row>
    <row r="32">
      <c r="A32" s="149">
        <v>25.0</v>
      </c>
      <c r="B32" s="159" t="s">
        <v>19</v>
      </c>
      <c r="C32" s="150">
        <v>0.35138888888888886</v>
      </c>
      <c r="D32" s="5"/>
      <c r="E32" s="150">
        <v>0.5409722222222222</v>
      </c>
      <c r="F32" s="5"/>
      <c r="G32" s="150">
        <v>0.5833333333333334</v>
      </c>
      <c r="H32" s="5"/>
      <c r="I32" s="150">
        <v>0.7361111111111112</v>
      </c>
      <c r="J32" s="5"/>
      <c r="K32" s="12"/>
      <c r="L32" s="29">
        <v>-15.0</v>
      </c>
      <c r="M32" s="29">
        <v>30.0</v>
      </c>
      <c r="N32" s="29"/>
      <c r="O32" s="13"/>
      <c r="P32" s="35"/>
      <c r="Q32" s="29"/>
      <c r="R32" s="29"/>
    </row>
    <row r="33">
      <c r="A33" s="149">
        <v>26.0</v>
      </c>
      <c r="B33" s="159" t="s">
        <v>20</v>
      </c>
      <c r="C33" s="150">
        <v>0.34930555555555554</v>
      </c>
      <c r="D33" s="5"/>
      <c r="E33" s="150">
        <v>0.5423611111111111</v>
      </c>
      <c r="F33" s="5"/>
      <c r="G33" s="147" t="s">
        <v>103</v>
      </c>
      <c r="H33" s="5"/>
      <c r="I33" s="150">
        <v>0.7381944444444445</v>
      </c>
      <c r="J33" s="5"/>
      <c r="K33" s="46"/>
      <c r="L33" s="29">
        <v>-10.0</v>
      </c>
      <c r="M33" s="29">
        <v>30.0</v>
      </c>
      <c r="N33" s="29"/>
      <c r="O33" s="37"/>
      <c r="P33" s="35"/>
      <c r="Q33" s="13"/>
      <c r="R33" s="13"/>
    </row>
    <row r="34">
      <c r="A34" s="149">
        <v>27.0</v>
      </c>
      <c r="B34" s="159" t="s">
        <v>21</v>
      </c>
      <c r="C34" s="150">
        <v>0.3416666666666667</v>
      </c>
      <c r="D34" s="5"/>
      <c r="E34" s="147" t="s">
        <v>103</v>
      </c>
      <c r="F34" s="5"/>
      <c r="G34" s="147" t="s">
        <v>103</v>
      </c>
      <c r="H34" s="5"/>
      <c r="I34" s="150">
        <v>0.4951388888888889</v>
      </c>
      <c r="J34" s="5"/>
      <c r="K34" s="46"/>
      <c r="L34" s="29">
        <v>-19.0</v>
      </c>
      <c r="M34" s="29"/>
      <c r="N34" s="13"/>
      <c r="O34" s="13"/>
      <c r="P34" s="13"/>
      <c r="Q34" s="13"/>
      <c r="R34" s="13"/>
    </row>
    <row r="35">
      <c r="A35" s="149">
        <v>28.0</v>
      </c>
      <c r="B35" s="158" t="s">
        <v>23</v>
      </c>
      <c r="C35" s="181" t="s">
        <v>103</v>
      </c>
      <c r="D35" s="5"/>
      <c r="E35" s="181" t="s">
        <v>103</v>
      </c>
      <c r="F35" s="5"/>
      <c r="G35" s="181" t="s">
        <v>103</v>
      </c>
      <c r="H35" s="5"/>
      <c r="I35" s="181" t="s">
        <v>103</v>
      </c>
      <c r="J35" s="5"/>
      <c r="K35" s="46"/>
      <c r="L35" s="29"/>
      <c r="M35" s="29"/>
      <c r="N35" s="29"/>
      <c r="O35" s="37"/>
      <c r="P35" s="35"/>
      <c r="Q35" s="13"/>
      <c r="R35" s="43"/>
      <c r="S35" s="101"/>
    </row>
    <row r="36">
      <c r="A36" s="149">
        <v>29.0</v>
      </c>
      <c r="B36" s="159" t="s">
        <v>24</v>
      </c>
      <c r="C36" s="151">
        <v>0.3506944444444444</v>
      </c>
      <c r="D36" s="5"/>
      <c r="E36" s="151">
        <v>0.5409722222222222</v>
      </c>
      <c r="F36" s="5"/>
      <c r="G36" s="151">
        <v>0.5826388888888889</v>
      </c>
      <c r="H36" s="5"/>
      <c r="I36" s="151">
        <v>0.7520833333333333</v>
      </c>
      <c r="J36" s="5"/>
      <c r="K36" s="12"/>
      <c r="L36" s="29">
        <v>0.0</v>
      </c>
      <c r="M36" s="29">
        <v>30.0</v>
      </c>
      <c r="N36" s="93" t="s">
        <v>183</v>
      </c>
      <c r="O36" s="189">
        <v>-0.6173611111111111</v>
      </c>
      <c r="P36" s="94">
        <v>0.41041666666666665</v>
      </c>
      <c r="Q36" s="13"/>
      <c r="R36" s="29" t="s">
        <v>185</v>
      </c>
      <c r="S36" s="37">
        <v>-0.37083333333333335</v>
      </c>
    </row>
    <row r="37">
      <c r="A37" s="163">
        <v>30.0</v>
      </c>
      <c r="B37" s="159" t="s">
        <v>58</v>
      </c>
      <c r="C37" s="151">
        <v>0.34930555555555554</v>
      </c>
      <c r="D37" s="5"/>
      <c r="E37" s="151">
        <v>0.5409722222222222</v>
      </c>
      <c r="F37" s="5"/>
      <c r="G37" s="151">
        <v>0.5819444444444445</v>
      </c>
      <c r="H37" s="5"/>
      <c r="I37" s="151">
        <v>0.7506944444444444</v>
      </c>
      <c r="J37" s="5"/>
      <c r="K37" s="12"/>
      <c r="L37" s="29">
        <v>9.0</v>
      </c>
      <c r="M37" s="29">
        <v>30.0</v>
      </c>
      <c r="N37" s="93" t="s">
        <v>183</v>
      </c>
      <c r="O37" s="189">
        <v>-0.6173611111111111</v>
      </c>
      <c r="P37" s="94">
        <v>0.4375</v>
      </c>
      <c r="Q37" s="37"/>
      <c r="R37" s="35"/>
      <c r="S37" s="41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29"/>
      <c r="M38" s="29"/>
      <c r="N38" s="29"/>
      <c r="O38" s="41">
        <v>0.45069444444444445</v>
      </c>
      <c r="P38" s="13"/>
      <c r="Q38" s="13"/>
      <c r="R38" s="13"/>
    </row>
    <row r="39">
      <c r="A39" s="107" t="s">
        <v>186</v>
      </c>
      <c r="B39" s="108"/>
      <c r="C39" s="108"/>
      <c r="D39" s="108"/>
      <c r="E39" s="15"/>
      <c r="F39" s="108"/>
      <c r="G39" s="15"/>
      <c r="H39" s="108"/>
      <c r="I39" s="108"/>
      <c r="J39" s="109"/>
      <c r="K39" s="6"/>
      <c r="L39" s="13"/>
      <c r="M39" s="13"/>
      <c r="N39" s="13"/>
      <c r="O39" s="13"/>
      <c r="P39" s="13"/>
      <c r="Q39" s="13"/>
      <c r="R39" s="13"/>
    </row>
    <row r="40">
      <c r="A40" s="107" t="s">
        <v>187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  <c r="L40" s="29"/>
      <c r="M40" s="13"/>
      <c r="N40" s="29"/>
      <c r="O40" s="13"/>
      <c r="P40" s="29"/>
    </row>
    <row r="41">
      <c r="A41" s="107" t="s">
        <v>188</v>
      </c>
      <c r="B41" s="15"/>
      <c r="C41" s="15"/>
      <c r="D41" s="15"/>
      <c r="E41" s="15"/>
      <c r="F41" s="15"/>
      <c r="G41" s="15"/>
      <c r="H41" s="15"/>
      <c r="I41" s="15"/>
      <c r="J41" s="5"/>
      <c r="K41" s="12"/>
      <c r="L41" s="13"/>
      <c r="M41" s="13"/>
      <c r="N41" s="35"/>
      <c r="O41" s="13"/>
      <c r="P41" s="192">
        <v>0.4375</v>
      </c>
      <c r="Q41" s="193">
        <v>-13.49</v>
      </c>
    </row>
    <row r="42">
      <c r="A42" s="110" t="s">
        <v>35</v>
      </c>
      <c r="B42" s="111"/>
      <c r="C42" s="111"/>
      <c r="D42" s="111"/>
      <c r="E42" s="111"/>
      <c r="F42" s="112"/>
      <c r="H42" s="112"/>
      <c r="I42" s="112"/>
      <c r="J42" s="113"/>
      <c r="K42" s="6"/>
      <c r="L42" s="13"/>
      <c r="M42" s="13"/>
      <c r="N42" s="13"/>
      <c r="O42" s="29"/>
      <c r="P42" s="13"/>
    </row>
    <row r="43">
      <c r="A43" s="114" t="s">
        <v>36</v>
      </c>
      <c r="B43" s="115"/>
      <c r="C43" s="116" t="s">
        <v>37</v>
      </c>
      <c r="D43" s="115"/>
      <c r="F43" s="115"/>
      <c r="H43" s="115"/>
      <c r="I43" s="115"/>
      <c r="J43" s="117"/>
      <c r="L43" s="13"/>
      <c r="M43" s="13"/>
      <c r="N43" s="29" t="s">
        <v>189</v>
      </c>
      <c r="O43" s="13"/>
      <c r="P43" s="13"/>
    </row>
    <row r="44">
      <c r="A44" s="118"/>
      <c r="B44" s="119"/>
      <c r="C44" s="119"/>
      <c r="D44" s="119"/>
      <c r="E44" s="11"/>
      <c r="F44" s="119"/>
      <c r="G44" s="11"/>
      <c r="H44" s="119"/>
      <c r="I44" s="119"/>
      <c r="J44" s="120"/>
      <c r="L44" s="13"/>
      <c r="M44" s="13"/>
      <c r="N44" s="35">
        <v>0.13819444444444445</v>
      </c>
      <c r="O44" s="41"/>
    </row>
    <row r="48">
      <c r="C48" s="41"/>
    </row>
  </sheetData>
  <mergeCells count="142">
    <mergeCell ref="C12:D12"/>
    <mergeCell ref="E12:F12"/>
    <mergeCell ref="G12:H12"/>
    <mergeCell ref="I12:J12"/>
    <mergeCell ref="C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3:E43"/>
    <mergeCell ref="F43:G43"/>
    <mergeCell ref="D44:E44"/>
    <mergeCell ref="F44:G44"/>
    <mergeCell ref="A38:J38"/>
    <mergeCell ref="D39:E39"/>
    <mergeCell ref="F39:G39"/>
    <mergeCell ref="D40:E40"/>
    <mergeCell ref="F40:G40"/>
    <mergeCell ref="A41:J41"/>
    <mergeCell ref="F42:G42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C36:D36"/>
    <mergeCell ref="C37:D37"/>
    <mergeCell ref="E37:F37"/>
    <mergeCell ref="G37:H37"/>
    <mergeCell ref="I37:J37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</row>
    <row r="6">
      <c r="A6" s="66" t="s">
        <v>10</v>
      </c>
      <c r="B6" s="123" t="s">
        <v>175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8" t="s">
        <v>24</v>
      </c>
      <c r="C8" s="151">
        <v>0.34930555555555554</v>
      </c>
      <c r="D8" s="5"/>
      <c r="E8" s="151">
        <v>0.5</v>
      </c>
      <c r="F8" s="5"/>
      <c r="G8" s="151">
        <v>0.5416666666666666</v>
      </c>
      <c r="H8" s="5"/>
      <c r="I8" s="151">
        <v>0.7486111111111111</v>
      </c>
      <c r="J8" s="5"/>
      <c r="K8" s="6"/>
      <c r="L8" s="29">
        <v>0.0</v>
      </c>
      <c r="M8" s="29">
        <v>30.0</v>
      </c>
      <c r="N8" s="13"/>
      <c r="O8" s="13"/>
      <c r="P8" s="13"/>
      <c r="Q8" s="13"/>
      <c r="R8" s="13"/>
      <c r="S8" s="13"/>
    </row>
    <row r="9">
      <c r="A9" s="149">
        <v>2.0</v>
      </c>
      <c r="B9" s="159" t="s">
        <v>58</v>
      </c>
      <c r="C9" s="151">
        <v>0.35</v>
      </c>
      <c r="D9" s="5"/>
      <c r="E9" s="151">
        <v>0.49930555555555556</v>
      </c>
      <c r="F9" s="5"/>
      <c r="G9" s="151">
        <v>0.5416666666666666</v>
      </c>
      <c r="H9" s="5"/>
      <c r="I9" s="151">
        <v>0.75</v>
      </c>
      <c r="J9" s="5"/>
      <c r="K9" s="6"/>
      <c r="L9" s="29">
        <v>0.0</v>
      </c>
      <c r="M9" s="29">
        <v>30.0</v>
      </c>
      <c r="N9" s="13"/>
      <c r="O9" s="13"/>
      <c r="P9" s="13"/>
      <c r="Q9" s="13"/>
      <c r="R9" s="13"/>
      <c r="S9" s="13"/>
    </row>
    <row r="10">
      <c r="A10" s="149">
        <v>3.0</v>
      </c>
      <c r="B10" s="155" t="s">
        <v>18</v>
      </c>
      <c r="C10" s="150">
        <v>0.35</v>
      </c>
      <c r="D10" s="5"/>
      <c r="E10" s="150">
        <v>0.5</v>
      </c>
      <c r="F10" s="5"/>
      <c r="G10" s="150">
        <v>0.5423611111111111</v>
      </c>
      <c r="H10" s="5"/>
      <c r="I10" s="150">
        <v>0.7465277777777778</v>
      </c>
      <c r="J10" s="5"/>
      <c r="K10" s="6"/>
      <c r="L10" s="29">
        <v>0.0</v>
      </c>
      <c r="M10" s="29">
        <v>30.0</v>
      </c>
      <c r="N10" s="13"/>
      <c r="O10" s="13"/>
      <c r="P10" s="13"/>
      <c r="Q10" s="13"/>
      <c r="R10" s="13"/>
      <c r="S10" s="13"/>
    </row>
    <row r="11">
      <c r="A11" s="149">
        <v>4.0</v>
      </c>
      <c r="B11" s="158" t="s">
        <v>19</v>
      </c>
      <c r="C11" s="150">
        <v>0.3506944444444444</v>
      </c>
      <c r="D11" s="5"/>
      <c r="E11" s="150">
        <v>0.5</v>
      </c>
      <c r="F11" s="5"/>
      <c r="G11" s="150">
        <v>0.5416666666666666</v>
      </c>
      <c r="H11" s="5"/>
      <c r="I11" s="150">
        <v>0.75</v>
      </c>
      <c r="J11" s="5"/>
      <c r="K11" s="6"/>
      <c r="L11" s="29">
        <v>0.0</v>
      </c>
      <c r="M11" s="29">
        <v>30.0</v>
      </c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20</v>
      </c>
      <c r="C12" s="150">
        <v>0.35</v>
      </c>
      <c r="D12" s="5"/>
      <c r="E12" s="150">
        <v>0.5</v>
      </c>
      <c r="F12" s="5"/>
      <c r="G12" s="150">
        <v>0.5416666666666666</v>
      </c>
      <c r="H12" s="5"/>
      <c r="I12" s="150">
        <v>0.7423611111111111</v>
      </c>
      <c r="J12" s="5"/>
      <c r="K12" s="6"/>
      <c r="L12" s="29">
        <v>0.0</v>
      </c>
      <c r="M12" s="29">
        <v>30.0</v>
      </c>
      <c r="N12" s="13"/>
      <c r="O12" s="13"/>
      <c r="P12" s="13"/>
      <c r="Q12" s="13"/>
      <c r="R12" s="13"/>
      <c r="S12" s="13"/>
    </row>
    <row r="13">
      <c r="A13" s="149">
        <v>6.0</v>
      </c>
      <c r="B13" s="155" t="s">
        <v>21</v>
      </c>
      <c r="C13" s="150">
        <v>0.3284722222222222</v>
      </c>
      <c r="D13" s="5"/>
      <c r="E13" s="147" t="s">
        <v>103</v>
      </c>
      <c r="F13" s="5"/>
      <c r="G13" s="147" t="s">
        <v>103</v>
      </c>
      <c r="H13" s="5"/>
      <c r="I13" s="150">
        <v>0.5</v>
      </c>
      <c r="J13" s="5"/>
      <c r="K13" s="6"/>
      <c r="L13" s="29">
        <v>7.0</v>
      </c>
      <c r="M13" s="29"/>
      <c r="N13" s="29"/>
      <c r="O13" s="37"/>
      <c r="P13" s="35"/>
      <c r="Q13" s="13"/>
      <c r="R13" s="13"/>
      <c r="S13" s="29"/>
    </row>
    <row r="14">
      <c r="A14" s="149">
        <v>7.0</v>
      </c>
      <c r="B14" s="155" t="s">
        <v>23</v>
      </c>
      <c r="C14" s="147" t="s">
        <v>103</v>
      </c>
      <c r="D14" s="5"/>
      <c r="E14" s="147" t="s">
        <v>103</v>
      </c>
      <c r="F14" s="5"/>
      <c r="G14" s="147" t="s">
        <v>103</v>
      </c>
      <c r="H14" s="5"/>
      <c r="I14" s="147" t="s">
        <v>103</v>
      </c>
      <c r="J14" s="5"/>
      <c r="K14" s="6"/>
      <c r="L14" s="29"/>
      <c r="M14" s="29"/>
      <c r="N14" s="13"/>
      <c r="O14" s="13"/>
      <c r="P14" s="13"/>
      <c r="Q14" s="13"/>
      <c r="R14" s="13"/>
      <c r="S14" s="13"/>
    </row>
    <row r="15">
      <c r="A15" s="149">
        <v>8.0</v>
      </c>
      <c r="B15" s="158" t="s">
        <v>24</v>
      </c>
      <c r="C15" s="150">
        <v>0.34930555555555554</v>
      </c>
      <c r="D15" s="5"/>
      <c r="E15" s="151">
        <v>0.5</v>
      </c>
      <c r="F15" s="5"/>
      <c r="G15" s="151">
        <v>0.5416666666666666</v>
      </c>
      <c r="H15" s="5"/>
      <c r="I15" s="151">
        <v>0.7458333333333333</v>
      </c>
      <c r="J15" s="5"/>
      <c r="K15" s="6"/>
      <c r="L15" s="29">
        <v>0.0</v>
      </c>
      <c r="M15" s="29">
        <v>30.0</v>
      </c>
      <c r="N15" s="93" t="s">
        <v>190</v>
      </c>
      <c r="O15" s="189"/>
      <c r="P15" s="94">
        <v>0.12986111111111112</v>
      </c>
      <c r="Q15" s="13"/>
      <c r="R15" s="13"/>
      <c r="S15" s="29"/>
    </row>
    <row r="16">
      <c r="A16" s="149">
        <v>9.0</v>
      </c>
      <c r="B16" s="159" t="s">
        <v>58</v>
      </c>
      <c r="C16" s="181" t="s">
        <v>68</v>
      </c>
      <c r="D16" s="15"/>
      <c r="E16" s="15"/>
      <c r="F16" s="15"/>
      <c r="G16" s="15"/>
      <c r="H16" s="15"/>
      <c r="I16" s="15"/>
      <c r="J16" s="5"/>
      <c r="K16" s="6"/>
      <c r="L16" s="29" t="s">
        <v>191</v>
      </c>
      <c r="M16" s="29"/>
      <c r="N16" s="13"/>
      <c r="O16" s="13"/>
      <c r="P16" s="13"/>
      <c r="Q16" s="13"/>
      <c r="R16" s="13"/>
      <c r="S16" s="13"/>
    </row>
    <row r="17">
      <c r="A17" s="149">
        <v>10.0</v>
      </c>
      <c r="B17" s="155" t="s">
        <v>18</v>
      </c>
      <c r="C17" s="150">
        <v>0.3486111111111111</v>
      </c>
      <c r="D17" s="5"/>
      <c r="E17" s="150">
        <v>0.5</v>
      </c>
      <c r="F17" s="5"/>
      <c r="G17" s="150">
        <v>0.5416666666666666</v>
      </c>
      <c r="H17" s="5"/>
      <c r="I17" s="150">
        <v>0.7472222222222222</v>
      </c>
      <c r="J17" s="5"/>
      <c r="K17" s="6"/>
      <c r="L17" s="29">
        <v>0.0</v>
      </c>
      <c r="M17" s="29">
        <v>30.0</v>
      </c>
      <c r="N17" s="13"/>
      <c r="O17" s="13"/>
      <c r="P17" s="13"/>
      <c r="Q17" s="13"/>
      <c r="R17" s="13"/>
      <c r="S17" s="13"/>
    </row>
    <row r="18">
      <c r="A18" s="149">
        <v>11.0</v>
      </c>
      <c r="B18" s="158" t="s">
        <v>19</v>
      </c>
      <c r="C18" s="150">
        <v>0.3506944444444444</v>
      </c>
      <c r="D18" s="5"/>
      <c r="E18" s="150">
        <v>0.5006944444444444</v>
      </c>
      <c r="F18" s="5"/>
      <c r="G18" s="150">
        <v>0.5423611111111111</v>
      </c>
      <c r="H18" s="5"/>
      <c r="I18" s="150">
        <v>0.7479166666666667</v>
      </c>
      <c r="J18" s="5"/>
      <c r="K18" s="6"/>
      <c r="L18" s="29">
        <v>0.0</v>
      </c>
      <c r="M18" s="29">
        <v>30.0</v>
      </c>
      <c r="N18" s="93" t="s">
        <v>190</v>
      </c>
      <c r="O18" s="189">
        <v>-0.3333333333333333</v>
      </c>
      <c r="P18" s="94">
        <v>0.17152777777777778</v>
      </c>
      <c r="Q18" s="13"/>
      <c r="R18" s="13"/>
      <c r="S18" s="13"/>
    </row>
    <row r="19">
      <c r="A19" s="149">
        <v>12.0</v>
      </c>
      <c r="B19" s="159" t="s">
        <v>20</v>
      </c>
      <c r="C19" s="150">
        <v>0.34930555555555554</v>
      </c>
      <c r="D19" s="5"/>
      <c r="E19" s="150">
        <v>0.5</v>
      </c>
      <c r="F19" s="5"/>
      <c r="G19" s="150">
        <v>0.5416666666666666</v>
      </c>
      <c r="H19" s="5"/>
      <c r="I19" s="150">
        <v>0.7458333333333333</v>
      </c>
      <c r="J19" s="5"/>
      <c r="K19" s="6"/>
      <c r="L19" s="29">
        <v>0.0</v>
      </c>
      <c r="M19" s="29">
        <v>30.0</v>
      </c>
      <c r="N19" s="29"/>
      <c r="O19" s="37"/>
      <c r="P19" s="35"/>
      <c r="Q19" s="13"/>
      <c r="R19" s="13"/>
      <c r="S19" s="13"/>
    </row>
    <row r="20">
      <c r="A20" s="149">
        <v>13.0</v>
      </c>
      <c r="B20" s="159" t="s">
        <v>21</v>
      </c>
      <c r="C20" s="150">
        <v>0.3298611111111111</v>
      </c>
      <c r="D20" s="5"/>
      <c r="E20" s="147" t="s">
        <v>103</v>
      </c>
      <c r="F20" s="5"/>
      <c r="G20" s="147" t="s">
        <v>103</v>
      </c>
      <c r="H20" s="5"/>
      <c r="I20" s="150">
        <v>0.5020833333333333</v>
      </c>
      <c r="J20" s="5"/>
      <c r="K20" s="6"/>
      <c r="L20" s="29">
        <v>0.0</v>
      </c>
      <c r="M20" s="29"/>
      <c r="N20" s="13"/>
      <c r="O20" s="13"/>
      <c r="P20" s="13"/>
      <c r="Q20" s="13"/>
      <c r="R20" s="13"/>
      <c r="S20" s="13"/>
    </row>
    <row r="21">
      <c r="A21" s="149">
        <v>14.0</v>
      </c>
      <c r="B21" s="155" t="s">
        <v>23</v>
      </c>
      <c r="C21" s="147" t="s">
        <v>103</v>
      </c>
      <c r="D21" s="5"/>
      <c r="E21" s="147" t="s">
        <v>103</v>
      </c>
      <c r="F21" s="5"/>
      <c r="G21" s="147" t="s">
        <v>103</v>
      </c>
      <c r="H21" s="5"/>
      <c r="I21" s="147" t="s">
        <v>103</v>
      </c>
      <c r="J21" s="5"/>
      <c r="K21" s="6"/>
      <c r="L21" s="96"/>
      <c r="M21" s="29"/>
      <c r="N21" s="29"/>
      <c r="O21" s="37"/>
      <c r="P21" s="35"/>
      <c r="Q21" s="13"/>
      <c r="R21" s="13"/>
      <c r="S21" s="29"/>
    </row>
    <row r="22">
      <c r="A22" s="149">
        <v>15.0</v>
      </c>
      <c r="B22" s="158" t="s">
        <v>24</v>
      </c>
      <c r="C22" s="150">
        <v>0.3486111111111111</v>
      </c>
      <c r="D22" s="5"/>
      <c r="E22" s="151">
        <v>0.54375</v>
      </c>
      <c r="F22" s="5"/>
      <c r="G22" s="151">
        <v>0.5861111111111111</v>
      </c>
      <c r="H22" s="5"/>
      <c r="I22" s="150">
        <v>0.75</v>
      </c>
      <c r="J22" s="5"/>
      <c r="K22" s="6"/>
      <c r="L22" s="29">
        <v>7.0</v>
      </c>
      <c r="M22" s="29">
        <v>30.0</v>
      </c>
      <c r="N22" s="29"/>
      <c r="O22" s="31"/>
      <c r="P22" s="35">
        <v>0.21805555555555556</v>
      </c>
      <c r="Q22" s="13"/>
      <c r="R22" s="13"/>
      <c r="S22" s="29"/>
    </row>
    <row r="23">
      <c r="A23" s="149">
        <v>16.0</v>
      </c>
      <c r="B23" s="159" t="s">
        <v>25</v>
      </c>
      <c r="C23" s="152">
        <v>0.34930555555555554</v>
      </c>
      <c r="D23" s="5"/>
      <c r="E23" s="152">
        <v>0.5</v>
      </c>
      <c r="F23" s="5"/>
      <c r="G23" s="152">
        <v>0.5416666666666666</v>
      </c>
      <c r="H23" s="5"/>
      <c r="I23" s="152">
        <v>0.7479166666666667</v>
      </c>
      <c r="J23" s="5"/>
      <c r="K23" s="6"/>
      <c r="L23" s="29">
        <v>0.0</v>
      </c>
      <c r="M23" s="29">
        <v>30.0</v>
      </c>
      <c r="N23" s="13"/>
      <c r="O23" s="13"/>
      <c r="P23" s="13"/>
      <c r="Q23" s="13"/>
      <c r="R23" s="13"/>
      <c r="S23" s="13"/>
    </row>
    <row r="24">
      <c r="A24" s="149">
        <v>17.0</v>
      </c>
      <c r="B24" s="155" t="s">
        <v>18</v>
      </c>
      <c r="C24" s="150">
        <v>0.3506944444444444</v>
      </c>
      <c r="D24" s="5"/>
      <c r="E24" s="150">
        <v>0.5006944444444444</v>
      </c>
      <c r="F24" s="5"/>
      <c r="G24" s="150">
        <v>0.5416666666666666</v>
      </c>
      <c r="H24" s="5"/>
      <c r="I24" s="150">
        <v>0.7465277777777778</v>
      </c>
      <c r="J24" s="5"/>
      <c r="K24" s="6"/>
      <c r="L24" s="29">
        <v>0.0</v>
      </c>
      <c r="M24" s="29">
        <v>30.0</v>
      </c>
      <c r="N24" s="29"/>
      <c r="O24" s="29"/>
      <c r="P24" s="35">
        <v>0.25972222222222224</v>
      </c>
      <c r="Q24" s="13"/>
      <c r="R24" s="13"/>
      <c r="S24" s="13"/>
    </row>
    <row r="25">
      <c r="A25" s="149">
        <v>18.0</v>
      </c>
      <c r="B25" s="158" t="s">
        <v>19</v>
      </c>
      <c r="C25" s="150">
        <v>0.34652777777777777</v>
      </c>
      <c r="D25" s="5"/>
      <c r="E25" s="150">
        <v>0.5</v>
      </c>
      <c r="F25" s="5"/>
      <c r="G25" s="150">
        <v>0.5416666666666666</v>
      </c>
      <c r="H25" s="5"/>
      <c r="I25" s="150">
        <v>0.75</v>
      </c>
      <c r="J25" s="5"/>
      <c r="K25" s="6"/>
      <c r="L25" s="29">
        <v>11.0</v>
      </c>
      <c r="M25" s="29">
        <v>30.0</v>
      </c>
      <c r="N25" s="13"/>
      <c r="O25" s="13"/>
      <c r="P25" s="13"/>
      <c r="Q25" s="13"/>
      <c r="R25" s="13"/>
      <c r="S25" s="13"/>
    </row>
    <row r="26">
      <c r="A26" s="149">
        <v>19.0</v>
      </c>
      <c r="B26" s="159" t="s">
        <v>20</v>
      </c>
      <c r="C26" s="150">
        <v>0.35138888888888886</v>
      </c>
      <c r="D26" s="5"/>
      <c r="E26" s="150">
        <v>0.5</v>
      </c>
      <c r="F26" s="5"/>
      <c r="G26" s="150">
        <v>0.5416666666666666</v>
      </c>
      <c r="H26" s="5"/>
      <c r="I26" s="150">
        <v>0.7416666666666667</v>
      </c>
      <c r="J26" s="5"/>
      <c r="K26" s="127"/>
      <c r="L26" s="29">
        <v>-8.0</v>
      </c>
      <c r="M26" s="29">
        <v>30.0</v>
      </c>
      <c r="N26" s="93" t="s">
        <v>190</v>
      </c>
      <c r="O26" s="189">
        <v>-0.3388888888888889</v>
      </c>
      <c r="P26" s="94">
        <v>0.3090277777777778</v>
      </c>
      <c r="Q26" s="13"/>
      <c r="R26" s="13"/>
      <c r="S26" s="29"/>
    </row>
    <row r="27">
      <c r="A27" s="149">
        <v>20.0</v>
      </c>
      <c r="B27" s="159" t="s">
        <v>21</v>
      </c>
      <c r="C27" s="150">
        <v>0.32916666666666666</v>
      </c>
      <c r="D27" s="5"/>
      <c r="E27" s="147" t="s">
        <v>103</v>
      </c>
      <c r="F27" s="5"/>
      <c r="G27" s="147" t="s">
        <v>103</v>
      </c>
      <c r="H27" s="5"/>
      <c r="I27" s="150">
        <v>0.5013888888888889</v>
      </c>
      <c r="J27" s="5"/>
      <c r="K27" s="6"/>
      <c r="L27" s="29">
        <v>8.0</v>
      </c>
      <c r="M27" s="29"/>
      <c r="N27" s="13"/>
      <c r="O27" s="13"/>
      <c r="P27" s="13"/>
      <c r="Q27" s="13"/>
      <c r="R27" s="13"/>
      <c r="S27" s="13"/>
    </row>
    <row r="28">
      <c r="A28" s="149">
        <v>21.0</v>
      </c>
      <c r="B28" s="158" t="s">
        <v>23</v>
      </c>
      <c r="C28" s="147" t="s">
        <v>103</v>
      </c>
      <c r="D28" s="5"/>
      <c r="E28" s="147" t="s">
        <v>103</v>
      </c>
      <c r="F28" s="5"/>
      <c r="G28" s="147" t="s">
        <v>103</v>
      </c>
      <c r="H28" s="5"/>
      <c r="I28" s="147" t="s">
        <v>103</v>
      </c>
      <c r="J28" s="5"/>
      <c r="K28" s="6"/>
      <c r="L28" s="29"/>
      <c r="M28" s="39"/>
      <c r="N28" s="191"/>
      <c r="O28" s="31"/>
      <c r="P28" s="13"/>
      <c r="Q28" s="13"/>
      <c r="R28" s="13"/>
      <c r="S28" s="13"/>
    </row>
    <row r="29">
      <c r="A29" s="149">
        <v>22.0</v>
      </c>
      <c r="B29" s="159" t="s">
        <v>24</v>
      </c>
      <c r="C29" s="150">
        <v>0.3506944444444444</v>
      </c>
      <c r="D29" s="5"/>
      <c r="E29" s="150">
        <v>0.5</v>
      </c>
      <c r="F29" s="5"/>
      <c r="G29" s="150">
        <v>0.5416666666666666</v>
      </c>
      <c r="H29" s="5"/>
      <c r="I29" s="150">
        <v>0.7402777777777778</v>
      </c>
      <c r="J29" s="5"/>
      <c r="K29" s="145"/>
      <c r="L29" s="29">
        <v>-9.0</v>
      </c>
      <c r="M29" s="39">
        <v>30.0</v>
      </c>
      <c r="N29" s="13"/>
      <c r="O29" s="13"/>
      <c r="P29" s="13"/>
      <c r="Q29" s="13"/>
      <c r="R29" s="13"/>
      <c r="S29" s="13"/>
    </row>
    <row r="30">
      <c r="A30" s="149">
        <v>23.0</v>
      </c>
      <c r="B30" s="159" t="s">
        <v>58</v>
      </c>
      <c r="C30" s="151">
        <v>0.4201388888888889</v>
      </c>
      <c r="D30" s="5"/>
      <c r="E30" s="151">
        <v>0.5013888888888889</v>
      </c>
      <c r="F30" s="5"/>
      <c r="G30" s="151">
        <v>0.5416666666666666</v>
      </c>
      <c r="H30" s="5"/>
      <c r="I30" s="151">
        <v>0.7458333333333333</v>
      </c>
      <c r="J30" s="5"/>
      <c r="K30" s="6"/>
      <c r="L30" s="37">
        <v>-0.06597222222222222</v>
      </c>
      <c r="M30" s="39">
        <v>30.0</v>
      </c>
      <c r="N30" s="29"/>
      <c r="O30" s="37"/>
      <c r="P30" s="35"/>
      <c r="Q30" s="13"/>
      <c r="R30" s="13"/>
      <c r="S30" s="29"/>
    </row>
    <row r="31">
      <c r="A31" s="149">
        <v>24.0</v>
      </c>
      <c r="B31" s="158" t="s">
        <v>18</v>
      </c>
      <c r="C31" s="151">
        <v>0.34791666666666665</v>
      </c>
      <c r="D31" s="5"/>
      <c r="E31" s="151">
        <v>0.5027777777777778</v>
      </c>
      <c r="F31" s="5"/>
      <c r="G31" s="151">
        <v>0.5472222222222223</v>
      </c>
      <c r="H31" s="5"/>
      <c r="I31" s="151">
        <v>0.7444444444444445</v>
      </c>
      <c r="J31" s="5"/>
      <c r="K31" s="6"/>
      <c r="L31" s="29">
        <v>0.0</v>
      </c>
      <c r="M31" s="39">
        <v>30.0</v>
      </c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19</v>
      </c>
      <c r="C32" s="151">
        <v>0.35</v>
      </c>
      <c r="D32" s="5"/>
      <c r="E32" s="151">
        <v>0.5013888888888889</v>
      </c>
      <c r="F32" s="5"/>
      <c r="G32" s="151">
        <v>0.54375</v>
      </c>
      <c r="H32" s="5"/>
      <c r="I32" s="151">
        <v>0.75</v>
      </c>
      <c r="J32" s="5"/>
      <c r="K32" s="6"/>
      <c r="L32" s="29">
        <v>0.0</v>
      </c>
      <c r="M32" s="39">
        <v>30.0</v>
      </c>
      <c r="N32" s="29"/>
      <c r="O32" s="31"/>
      <c r="P32" s="35"/>
      <c r="Q32" s="13"/>
      <c r="R32" s="13"/>
      <c r="S32" s="29"/>
    </row>
    <row r="33">
      <c r="A33" s="149">
        <v>26.0</v>
      </c>
      <c r="B33" s="159" t="s">
        <v>20</v>
      </c>
      <c r="C33" s="150">
        <v>0.34930555555555554</v>
      </c>
      <c r="D33" s="5"/>
      <c r="E33" s="150">
        <v>0.5</v>
      </c>
      <c r="F33" s="5"/>
      <c r="G33" s="150">
        <v>0.5416666666666666</v>
      </c>
      <c r="H33" s="5"/>
      <c r="I33" s="150">
        <v>0.7458333333333333</v>
      </c>
      <c r="J33" s="5"/>
      <c r="K33" s="6"/>
      <c r="L33" s="29">
        <v>0.0</v>
      </c>
      <c r="M33" s="39">
        <v>30.0</v>
      </c>
      <c r="N33" s="29"/>
      <c r="O33" s="37"/>
      <c r="P33" s="35"/>
      <c r="Q33" s="13"/>
      <c r="R33" s="13"/>
      <c r="S33" s="13"/>
    </row>
    <row r="34">
      <c r="A34" s="149">
        <v>27.0</v>
      </c>
      <c r="B34" s="159" t="s">
        <v>21</v>
      </c>
      <c r="C34" s="150">
        <v>0.33402777777777776</v>
      </c>
      <c r="D34" s="5"/>
      <c r="E34" s="147" t="s">
        <v>103</v>
      </c>
      <c r="F34" s="5"/>
      <c r="G34" s="147" t="s">
        <v>103</v>
      </c>
      <c r="H34" s="5"/>
      <c r="I34" s="150">
        <v>0.4951388888888889</v>
      </c>
      <c r="J34" s="5"/>
      <c r="K34" s="6"/>
      <c r="L34" s="29">
        <v>-8.0</v>
      </c>
      <c r="M34" s="39"/>
      <c r="N34" s="96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8" t="s">
        <v>23</v>
      </c>
      <c r="C35" s="181" t="s">
        <v>103</v>
      </c>
      <c r="D35" s="5"/>
      <c r="E35" s="181" t="s">
        <v>103</v>
      </c>
      <c r="F35" s="5"/>
      <c r="G35" s="181" t="s">
        <v>103</v>
      </c>
      <c r="H35" s="5"/>
      <c r="I35" s="181" t="s">
        <v>103</v>
      </c>
      <c r="J35" s="5"/>
      <c r="L35" s="29"/>
      <c r="M35" s="128"/>
      <c r="N35" s="29"/>
      <c r="O35" s="37"/>
      <c r="P35" s="35"/>
      <c r="Q35" s="13"/>
      <c r="R35" s="13"/>
      <c r="S35" s="29"/>
      <c r="T35" s="13"/>
      <c r="U35" s="13"/>
      <c r="V35" s="13"/>
    </row>
    <row r="36">
      <c r="A36" s="149">
        <v>29.0</v>
      </c>
      <c r="B36" s="159" t="s">
        <v>24</v>
      </c>
      <c r="C36" s="151">
        <v>0.35138888888888886</v>
      </c>
      <c r="D36" s="5"/>
      <c r="E36" s="151">
        <v>0.5</v>
      </c>
      <c r="F36" s="5"/>
      <c r="G36" s="151">
        <v>0.5416666666666666</v>
      </c>
      <c r="H36" s="5"/>
      <c r="I36" s="151">
        <v>0.7506944444444444</v>
      </c>
      <c r="J36" s="5"/>
      <c r="K36" s="6"/>
      <c r="L36" s="29">
        <v>0.0</v>
      </c>
      <c r="M36" s="39">
        <v>30.0</v>
      </c>
      <c r="N36" s="93" t="s">
        <v>190</v>
      </c>
      <c r="O36" s="189">
        <v>-0.4166666666666667</v>
      </c>
      <c r="P36" s="94">
        <v>0.4340277777777778</v>
      </c>
      <c r="Q36" s="13"/>
      <c r="R36" s="13"/>
      <c r="S36" s="13"/>
    </row>
    <row r="37">
      <c r="A37" s="163">
        <v>30.0</v>
      </c>
      <c r="B37" s="159" t="s">
        <v>58</v>
      </c>
      <c r="C37" s="151">
        <v>0.3888888888888889</v>
      </c>
      <c r="D37" s="5"/>
      <c r="E37" s="151">
        <v>0.5</v>
      </c>
      <c r="F37" s="5"/>
      <c r="G37" s="151">
        <v>0.5416666666666666</v>
      </c>
      <c r="H37" s="5"/>
      <c r="I37" s="151">
        <v>0.75</v>
      </c>
      <c r="J37" s="5"/>
      <c r="K37" s="6"/>
      <c r="L37" s="29">
        <v>-50.0</v>
      </c>
      <c r="M37" s="39">
        <v>30.0</v>
      </c>
      <c r="N37" s="93" t="s">
        <v>190</v>
      </c>
      <c r="O37" s="189">
        <v>-0.4513888888888889</v>
      </c>
      <c r="P37" s="94">
        <v>0.4513888888888889</v>
      </c>
      <c r="Q37" s="13"/>
      <c r="R37" s="13"/>
      <c r="S37" s="29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3"/>
      <c r="M38" s="13"/>
      <c r="N38" s="13"/>
      <c r="O38" s="97">
        <v>-0.11805555555555555</v>
      </c>
      <c r="P38" s="13"/>
      <c r="Q38" s="13"/>
      <c r="R38" s="13"/>
      <c r="S38" s="13"/>
    </row>
    <row r="39">
      <c r="A39" s="107" t="s">
        <v>192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/>
      <c r="P39" s="13"/>
      <c r="Q39" s="13"/>
      <c r="R39" s="13"/>
      <c r="S39" s="13"/>
    </row>
    <row r="40">
      <c r="A40" s="107" t="s">
        <v>193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32" t="s">
        <v>194</v>
      </c>
      <c r="B41" s="3"/>
      <c r="C41" s="3"/>
      <c r="D41" s="3"/>
      <c r="E41" s="3"/>
      <c r="F41" s="3"/>
      <c r="G41" s="3"/>
      <c r="H41" s="3"/>
      <c r="I41" s="3"/>
      <c r="J41" s="2"/>
      <c r="K41" s="6"/>
      <c r="L41" s="13"/>
      <c r="M41" s="35"/>
      <c r="N41" s="13"/>
      <c r="O41" s="192">
        <v>0.46041666666666664</v>
      </c>
      <c r="P41" s="193" t="s">
        <v>195</v>
      </c>
      <c r="Q41" s="13"/>
      <c r="R41" s="13"/>
      <c r="S41" s="13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  <c r="L42" s="13"/>
      <c r="M42" s="13"/>
      <c r="N42" s="13"/>
      <c r="O42" s="13"/>
      <c r="P42" s="13"/>
      <c r="Q42" s="13"/>
      <c r="R42" s="13"/>
      <c r="S42" s="13"/>
    </row>
    <row r="43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  <c r="M44" s="41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  <c r="M45" s="41"/>
    </row>
  </sheetData>
  <mergeCells count="142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E15:F15"/>
    <mergeCell ref="C16:J16"/>
    <mergeCell ref="G18:H18"/>
    <mergeCell ref="I18:J18"/>
    <mergeCell ref="C15:D15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4:E44"/>
    <mergeCell ref="F44:G44"/>
    <mergeCell ref="D45:E45"/>
    <mergeCell ref="F45:G45"/>
    <mergeCell ref="A38:J38"/>
    <mergeCell ref="A39:J39"/>
    <mergeCell ref="A40:J40"/>
    <mergeCell ref="A41:J41"/>
    <mergeCell ref="F42:G42"/>
    <mergeCell ref="D43:E43"/>
    <mergeCell ref="F43:G43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C36:D36"/>
    <mergeCell ref="C37:D37"/>
    <mergeCell ref="E37:F37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</row>
    <row r="4">
      <c r="A4" s="66" t="s">
        <v>5</v>
      </c>
      <c r="B4" s="63" t="s">
        <v>51</v>
      </c>
      <c r="C4" s="15"/>
      <c r="D4" s="15"/>
      <c r="E4" s="15"/>
      <c r="F4" s="5"/>
      <c r="G4" s="121"/>
      <c r="H4" s="5"/>
      <c r="I4" s="122"/>
      <c r="J4" s="122"/>
      <c r="K4" s="6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</row>
    <row r="6">
      <c r="A6" s="66" t="s">
        <v>10</v>
      </c>
      <c r="B6" s="123" t="s">
        <v>175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8" t="s">
        <v>24</v>
      </c>
      <c r="C8" s="150">
        <v>0.35625</v>
      </c>
      <c r="D8" s="5"/>
      <c r="E8" s="150">
        <v>0.5027777777777778</v>
      </c>
      <c r="F8" s="5"/>
      <c r="G8" s="150">
        <v>0.5520833333333334</v>
      </c>
      <c r="H8" s="5"/>
      <c r="I8" s="150">
        <v>0.7493055555555556</v>
      </c>
      <c r="J8" s="5"/>
      <c r="K8" s="6"/>
      <c r="L8" s="29">
        <v>-15.0</v>
      </c>
      <c r="M8" s="29">
        <v>30.0</v>
      </c>
      <c r="N8" s="13"/>
      <c r="O8" s="13"/>
      <c r="P8" s="13"/>
      <c r="Q8" s="13"/>
      <c r="R8" s="13"/>
      <c r="S8" s="13"/>
    </row>
    <row r="9">
      <c r="A9" s="149">
        <v>2.0</v>
      </c>
      <c r="B9" s="159" t="s">
        <v>58</v>
      </c>
      <c r="C9" s="150">
        <v>0.3541666666666667</v>
      </c>
      <c r="D9" s="5"/>
      <c r="E9" s="150">
        <v>0.5020833333333333</v>
      </c>
      <c r="F9" s="5"/>
      <c r="G9" s="150">
        <v>0.5486111111111112</v>
      </c>
      <c r="H9" s="5"/>
      <c r="I9" s="150">
        <v>0.75</v>
      </c>
      <c r="J9" s="5"/>
      <c r="K9" s="6"/>
      <c r="L9" s="29">
        <v>-7.0</v>
      </c>
      <c r="M9" s="29">
        <v>30.0</v>
      </c>
      <c r="N9" s="13"/>
      <c r="O9" s="13"/>
      <c r="P9" s="13"/>
      <c r="Q9" s="13"/>
      <c r="R9" s="13"/>
      <c r="S9" s="13"/>
    </row>
    <row r="10">
      <c r="A10" s="149">
        <v>3.0</v>
      </c>
      <c r="B10" s="155" t="s">
        <v>18</v>
      </c>
      <c r="C10" s="150">
        <v>0.3541666666666667</v>
      </c>
      <c r="D10" s="5"/>
      <c r="E10" s="150">
        <v>0.5020833333333333</v>
      </c>
      <c r="F10" s="5"/>
      <c r="G10" s="150">
        <v>0.5520833333333334</v>
      </c>
      <c r="H10" s="5"/>
      <c r="I10" s="150">
        <v>0.7465277777777778</v>
      </c>
      <c r="J10" s="5"/>
      <c r="K10" s="6"/>
      <c r="L10" s="29">
        <v>-7.0</v>
      </c>
      <c r="M10" s="29">
        <v>30.0</v>
      </c>
      <c r="N10" s="13"/>
      <c r="O10" s="13"/>
      <c r="P10" s="13"/>
      <c r="Q10" s="13"/>
      <c r="R10" s="13"/>
      <c r="S10" s="13"/>
    </row>
    <row r="11">
      <c r="A11" s="149">
        <v>4.0</v>
      </c>
      <c r="B11" s="158" t="s">
        <v>19</v>
      </c>
      <c r="C11" s="150">
        <v>0.35694444444444445</v>
      </c>
      <c r="D11" s="5"/>
      <c r="E11" s="150">
        <v>0.5013888888888889</v>
      </c>
      <c r="F11" s="5"/>
      <c r="G11" s="150">
        <v>0.5493055555555556</v>
      </c>
      <c r="H11" s="5"/>
      <c r="I11" s="150">
        <v>0.7625</v>
      </c>
      <c r="J11" s="5"/>
      <c r="K11" s="6"/>
      <c r="L11" s="29">
        <v>0.0</v>
      </c>
      <c r="M11" s="29">
        <v>30.0</v>
      </c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20</v>
      </c>
      <c r="C12" s="150">
        <v>0.35555555555555557</v>
      </c>
      <c r="D12" s="5"/>
      <c r="E12" s="150">
        <v>0.5034722222222222</v>
      </c>
      <c r="F12" s="5"/>
      <c r="G12" s="150">
        <v>0.5506944444444445</v>
      </c>
      <c r="H12" s="5"/>
      <c r="I12" s="150">
        <v>0.7430555555555556</v>
      </c>
      <c r="J12" s="5"/>
      <c r="K12" s="6"/>
      <c r="L12" s="29">
        <v>-20.0</v>
      </c>
      <c r="M12" s="29">
        <v>30.0</v>
      </c>
      <c r="N12" s="13"/>
      <c r="O12" s="13"/>
      <c r="P12" s="13"/>
      <c r="Q12" s="13"/>
      <c r="R12" s="13"/>
      <c r="S12" s="13"/>
    </row>
    <row r="13">
      <c r="A13" s="149">
        <v>6.0</v>
      </c>
      <c r="B13" s="155" t="s">
        <v>21</v>
      </c>
      <c r="C13" s="150">
        <v>0.33611111111111114</v>
      </c>
      <c r="D13" s="5"/>
      <c r="E13" s="147" t="s">
        <v>103</v>
      </c>
      <c r="F13" s="5"/>
      <c r="G13" s="147" t="s">
        <v>103</v>
      </c>
      <c r="H13" s="5"/>
      <c r="I13" s="150">
        <v>0.5006944444444444</v>
      </c>
      <c r="J13" s="5"/>
      <c r="K13" s="6"/>
      <c r="L13" s="29">
        <v>0.0</v>
      </c>
      <c r="M13" s="29"/>
      <c r="N13" s="29"/>
      <c r="O13" s="37"/>
      <c r="P13" s="35"/>
      <c r="Q13" s="13"/>
      <c r="R13" s="13"/>
      <c r="S13" s="29"/>
    </row>
    <row r="14">
      <c r="A14" s="149">
        <v>7.0</v>
      </c>
      <c r="B14" s="155" t="s">
        <v>23</v>
      </c>
      <c r="C14" s="147" t="s">
        <v>103</v>
      </c>
      <c r="D14" s="5"/>
      <c r="E14" s="147" t="s">
        <v>103</v>
      </c>
      <c r="F14" s="5"/>
      <c r="G14" s="147" t="s">
        <v>103</v>
      </c>
      <c r="H14" s="5"/>
      <c r="I14" s="147" t="s">
        <v>103</v>
      </c>
      <c r="J14" s="5"/>
      <c r="K14" s="6"/>
      <c r="L14" s="29"/>
      <c r="M14" s="29"/>
      <c r="O14" s="13"/>
      <c r="P14" s="13"/>
      <c r="Q14" s="13"/>
      <c r="R14" s="13"/>
      <c r="S14" s="13"/>
    </row>
    <row r="15">
      <c r="A15" s="149">
        <v>8.0</v>
      </c>
      <c r="B15" s="158" t="s">
        <v>24</v>
      </c>
      <c r="C15" s="150">
        <v>0.35555555555555557</v>
      </c>
      <c r="D15" s="5"/>
      <c r="E15" s="147" t="s">
        <v>103</v>
      </c>
      <c r="F15" s="5"/>
      <c r="G15" s="150">
        <v>0.55</v>
      </c>
      <c r="H15" s="5"/>
      <c r="I15" s="150">
        <v>0.7465277777777778</v>
      </c>
      <c r="J15" s="5"/>
      <c r="K15" s="6"/>
      <c r="L15" s="29">
        <v>-7.0</v>
      </c>
      <c r="M15" s="29">
        <v>30.0</v>
      </c>
      <c r="N15" s="93" t="s">
        <v>190</v>
      </c>
      <c r="O15" s="189">
        <v>-0.03888888888888889</v>
      </c>
      <c r="P15" s="94">
        <v>0.125</v>
      </c>
      <c r="Q15" s="13"/>
      <c r="R15" s="13"/>
      <c r="S15" s="13"/>
    </row>
    <row r="16">
      <c r="A16" s="149">
        <v>9.0</v>
      </c>
      <c r="B16" s="159" t="s">
        <v>58</v>
      </c>
      <c r="C16" s="150">
        <v>0.3541666666666667</v>
      </c>
      <c r="D16" s="5"/>
      <c r="E16" s="150">
        <v>0.5048611111111111</v>
      </c>
      <c r="F16" s="5"/>
      <c r="G16" s="150">
        <v>0.5534722222222223</v>
      </c>
      <c r="H16" s="5"/>
      <c r="I16" s="150">
        <v>0.7513888888888889</v>
      </c>
      <c r="J16" s="5"/>
      <c r="K16" s="6"/>
      <c r="L16" s="29">
        <v>-8.0</v>
      </c>
      <c r="M16" s="29">
        <v>30.0</v>
      </c>
      <c r="N16" s="13"/>
      <c r="O16" s="13"/>
      <c r="P16" s="13"/>
      <c r="Q16" s="13"/>
      <c r="R16" s="13"/>
      <c r="S16" s="13"/>
    </row>
    <row r="17">
      <c r="A17" s="149">
        <v>10.0</v>
      </c>
      <c r="B17" s="155" t="s">
        <v>18</v>
      </c>
      <c r="C17" s="150">
        <v>0.35347222222222224</v>
      </c>
      <c r="D17" s="5"/>
      <c r="E17" s="150">
        <v>0.5034722222222222</v>
      </c>
      <c r="F17" s="5"/>
      <c r="G17" s="150">
        <v>0.5493055555555556</v>
      </c>
      <c r="H17" s="5"/>
      <c r="I17" s="150">
        <v>0.75</v>
      </c>
      <c r="J17" s="5"/>
      <c r="K17" s="6"/>
      <c r="L17" s="29">
        <v>0.0</v>
      </c>
      <c r="M17" s="29">
        <v>30.0</v>
      </c>
      <c r="N17" s="13"/>
      <c r="O17" s="13"/>
      <c r="P17" s="13"/>
      <c r="Q17" s="13"/>
      <c r="R17" s="13"/>
      <c r="S17" s="13"/>
    </row>
    <row r="18">
      <c r="A18" s="149">
        <v>11.0</v>
      </c>
      <c r="B18" s="158" t="s">
        <v>19</v>
      </c>
      <c r="C18" s="150">
        <v>0.35347222222222224</v>
      </c>
      <c r="D18" s="5"/>
      <c r="E18" s="150">
        <v>0.5076388888888889</v>
      </c>
      <c r="F18" s="5"/>
      <c r="G18" s="150">
        <v>0.55</v>
      </c>
      <c r="H18" s="5"/>
      <c r="I18" s="150">
        <v>0.7486111111111111</v>
      </c>
      <c r="J18" s="5"/>
      <c r="K18" s="6"/>
      <c r="L18" s="29">
        <v>0.0</v>
      </c>
      <c r="M18" s="29">
        <v>30.0</v>
      </c>
      <c r="N18" s="93" t="s">
        <v>190</v>
      </c>
      <c r="O18" s="189">
        <v>-0.044444444444444446</v>
      </c>
      <c r="P18" s="94">
        <v>0.1875</v>
      </c>
      <c r="Q18" s="13"/>
      <c r="R18" s="13"/>
      <c r="S18" s="13"/>
    </row>
    <row r="19">
      <c r="A19" s="149">
        <v>12.0</v>
      </c>
      <c r="B19" s="159" t="s">
        <v>20</v>
      </c>
      <c r="C19" s="150">
        <v>0.35208333333333336</v>
      </c>
      <c r="D19" s="5"/>
      <c r="E19" s="150">
        <v>0.5090277777777777</v>
      </c>
      <c r="F19" s="5"/>
      <c r="G19" s="150">
        <v>0.5541666666666667</v>
      </c>
      <c r="H19" s="5"/>
      <c r="I19" s="150">
        <v>0.7465277777777778</v>
      </c>
      <c r="J19" s="5"/>
      <c r="K19" s="6"/>
      <c r="L19" s="29">
        <v>-7.0</v>
      </c>
      <c r="M19" s="29">
        <v>30.0</v>
      </c>
      <c r="N19" s="29"/>
      <c r="O19" s="37"/>
      <c r="P19" s="35"/>
      <c r="Q19" s="13"/>
      <c r="R19" s="13"/>
      <c r="S19" s="13"/>
    </row>
    <row r="20">
      <c r="A20" s="149">
        <v>13.0</v>
      </c>
      <c r="B20" s="159" t="s">
        <v>21</v>
      </c>
      <c r="C20" s="150">
        <v>0.3298611111111111</v>
      </c>
      <c r="D20" s="5"/>
      <c r="E20" s="147" t="s">
        <v>103</v>
      </c>
      <c r="F20" s="5"/>
      <c r="G20" s="147" t="s">
        <v>103</v>
      </c>
      <c r="H20" s="5"/>
      <c r="I20" s="150">
        <v>0.5027777777777778</v>
      </c>
      <c r="J20" s="5"/>
      <c r="K20" s="6"/>
      <c r="L20" s="29">
        <v>0.0</v>
      </c>
      <c r="M20" s="29"/>
      <c r="N20" s="13"/>
      <c r="O20" s="13"/>
      <c r="P20" s="13"/>
      <c r="Q20" s="13"/>
      <c r="R20" s="13"/>
      <c r="S20" s="13"/>
    </row>
    <row r="21">
      <c r="A21" s="149">
        <v>14.0</v>
      </c>
      <c r="B21" s="155" t="s">
        <v>23</v>
      </c>
      <c r="C21" s="147" t="s">
        <v>103</v>
      </c>
      <c r="D21" s="5"/>
      <c r="E21" s="147" t="s">
        <v>103</v>
      </c>
      <c r="F21" s="5"/>
      <c r="G21" s="147" t="s">
        <v>103</v>
      </c>
      <c r="H21" s="5"/>
      <c r="I21" s="147" t="s">
        <v>103</v>
      </c>
      <c r="J21" s="5"/>
      <c r="K21" s="6"/>
      <c r="L21" s="96"/>
      <c r="M21" s="29"/>
      <c r="N21" s="13"/>
      <c r="O21" s="13"/>
      <c r="P21" s="13"/>
      <c r="Q21" s="13"/>
      <c r="R21" s="13"/>
      <c r="S21" s="13"/>
    </row>
    <row r="22">
      <c r="A22" s="149">
        <v>15.0</v>
      </c>
      <c r="B22" s="158" t="s">
        <v>24</v>
      </c>
      <c r="C22" s="150">
        <v>0.3486111111111111</v>
      </c>
      <c r="D22" s="5"/>
      <c r="E22" s="151">
        <v>0.5055555555555555</v>
      </c>
      <c r="F22" s="5"/>
      <c r="G22" s="151">
        <v>0.5541666666666667</v>
      </c>
      <c r="H22" s="5"/>
      <c r="I22" s="150">
        <v>0.75</v>
      </c>
      <c r="J22" s="5"/>
      <c r="K22" s="6"/>
      <c r="L22" s="29">
        <v>0.0</v>
      </c>
      <c r="M22" s="29">
        <v>30.0</v>
      </c>
      <c r="N22" s="29"/>
      <c r="O22" s="31"/>
      <c r="P22" s="35"/>
      <c r="Q22" s="13"/>
      <c r="R22" s="13"/>
      <c r="S22" s="29"/>
    </row>
    <row r="23">
      <c r="A23" s="149">
        <v>16.0</v>
      </c>
      <c r="B23" s="159" t="s">
        <v>25</v>
      </c>
      <c r="C23" s="152">
        <v>0.35555555555555557</v>
      </c>
      <c r="D23" s="5"/>
      <c r="E23" s="152">
        <v>0.5069444444444444</v>
      </c>
      <c r="F23" s="5"/>
      <c r="G23" s="152">
        <v>0.5493055555555556</v>
      </c>
      <c r="H23" s="5"/>
      <c r="I23" s="152">
        <v>0.75</v>
      </c>
      <c r="J23" s="5"/>
      <c r="K23" s="6"/>
      <c r="L23" s="29">
        <v>0.0</v>
      </c>
      <c r="M23" s="29">
        <v>30.0</v>
      </c>
      <c r="N23" s="13"/>
      <c r="O23" s="13"/>
      <c r="P23" s="13"/>
      <c r="Q23" s="13"/>
      <c r="R23" s="13"/>
      <c r="S23" s="13"/>
    </row>
    <row r="24">
      <c r="A24" s="149">
        <v>17.0</v>
      </c>
      <c r="B24" s="155" t="s">
        <v>18</v>
      </c>
      <c r="C24" s="150">
        <v>0.35625</v>
      </c>
      <c r="D24" s="5"/>
      <c r="E24" s="150">
        <v>0.5166666666666667</v>
      </c>
      <c r="F24" s="5"/>
      <c r="G24" s="150">
        <v>0.5659722222222222</v>
      </c>
      <c r="H24" s="5"/>
      <c r="I24" s="150">
        <v>0.7465277777777778</v>
      </c>
      <c r="J24" s="5"/>
      <c r="K24" s="6"/>
      <c r="L24" s="29">
        <v>-9.0</v>
      </c>
      <c r="M24" s="29">
        <v>30.0</v>
      </c>
      <c r="N24" s="29"/>
      <c r="O24" s="37"/>
      <c r="P24" s="35"/>
      <c r="Q24" s="13"/>
      <c r="R24" s="13"/>
      <c r="S24" s="13"/>
    </row>
    <row r="25">
      <c r="A25" s="149">
        <v>18.0</v>
      </c>
      <c r="B25" s="158" t="s">
        <v>19</v>
      </c>
      <c r="C25" s="150">
        <v>0.35347222222222224</v>
      </c>
      <c r="D25" s="5"/>
      <c r="E25" s="150">
        <v>0.5013888888888889</v>
      </c>
      <c r="F25" s="5"/>
      <c r="G25" s="150">
        <v>0.5548611111111111</v>
      </c>
      <c r="H25" s="5"/>
      <c r="I25" s="150">
        <v>0.7527777777777778</v>
      </c>
      <c r="J25" s="5"/>
      <c r="K25" s="6"/>
      <c r="L25" s="29">
        <v>-12.0</v>
      </c>
      <c r="M25" s="29">
        <v>30.0</v>
      </c>
      <c r="N25" s="13"/>
      <c r="O25" s="13"/>
      <c r="P25" s="13"/>
      <c r="Q25" s="13"/>
      <c r="R25" s="13"/>
      <c r="S25" s="13"/>
    </row>
    <row r="26">
      <c r="A26" s="149">
        <v>19.0</v>
      </c>
      <c r="B26" s="159" t="s">
        <v>20</v>
      </c>
      <c r="C26" s="150">
        <v>0.3541666666666667</v>
      </c>
      <c r="D26" s="5"/>
      <c r="E26" s="150">
        <v>0.5006944444444444</v>
      </c>
      <c r="F26" s="5"/>
      <c r="G26" s="150">
        <v>0.5465277777777777</v>
      </c>
      <c r="H26" s="5"/>
      <c r="I26" s="150">
        <v>0.7486111111111111</v>
      </c>
      <c r="J26" s="5"/>
      <c r="K26" s="127"/>
      <c r="L26" s="29">
        <v>-8.0</v>
      </c>
      <c r="M26" s="29">
        <v>30.0</v>
      </c>
      <c r="N26" s="96"/>
      <c r="O26" s="29"/>
      <c r="P26" s="35"/>
      <c r="Q26" s="13"/>
      <c r="R26" s="13"/>
      <c r="S26" s="13"/>
    </row>
    <row r="27">
      <c r="A27" s="149">
        <v>20.0</v>
      </c>
      <c r="B27" s="159" t="s">
        <v>21</v>
      </c>
      <c r="C27" s="150">
        <v>0.3375</v>
      </c>
      <c r="D27" s="5"/>
      <c r="E27" s="147" t="s">
        <v>103</v>
      </c>
      <c r="F27" s="5"/>
      <c r="G27" s="147" t="s">
        <v>103</v>
      </c>
      <c r="H27" s="5"/>
      <c r="I27" s="150">
        <v>0.5180555555555556</v>
      </c>
      <c r="J27" s="5"/>
      <c r="K27" s="6"/>
      <c r="L27" s="29">
        <v>20.0</v>
      </c>
      <c r="M27" s="29"/>
      <c r="N27" s="13"/>
      <c r="O27" s="13"/>
      <c r="P27" s="13"/>
      <c r="Q27" s="13"/>
      <c r="R27" s="13"/>
      <c r="S27" s="13"/>
    </row>
    <row r="28">
      <c r="A28" s="149">
        <v>21.0</v>
      </c>
      <c r="B28" s="158" t="s">
        <v>23</v>
      </c>
      <c r="C28" s="147" t="s">
        <v>103</v>
      </c>
      <c r="D28" s="5"/>
      <c r="E28" s="147" t="s">
        <v>103</v>
      </c>
      <c r="F28" s="5"/>
      <c r="G28" s="147" t="s">
        <v>103</v>
      </c>
      <c r="H28" s="5"/>
      <c r="I28" s="147" t="s">
        <v>103</v>
      </c>
      <c r="J28" s="5"/>
      <c r="K28" s="6"/>
      <c r="L28" s="29"/>
      <c r="M28" s="39"/>
      <c r="N28" s="191"/>
      <c r="O28" s="31"/>
      <c r="P28" s="13"/>
      <c r="Q28" s="13"/>
      <c r="R28" s="13"/>
      <c r="S28" s="13"/>
    </row>
    <row r="29">
      <c r="A29" s="149">
        <v>22.0</v>
      </c>
      <c r="B29" s="159" t="s">
        <v>24</v>
      </c>
      <c r="C29" s="150">
        <v>0.3506944444444444</v>
      </c>
      <c r="D29" s="5"/>
      <c r="E29" s="150">
        <v>0.5027777777777778</v>
      </c>
      <c r="F29" s="5"/>
      <c r="G29" s="150">
        <v>0.5479166666666667</v>
      </c>
      <c r="H29" s="5"/>
      <c r="I29" s="150">
        <v>0.7430555555555556</v>
      </c>
      <c r="J29" s="5"/>
      <c r="K29" s="6"/>
      <c r="L29" s="29">
        <v>-10.0</v>
      </c>
      <c r="M29" s="39">
        <v>30.0</v>
      </c>
      <c r="N29" s="13"/>
      <c r="O29" s="13"/>
      <c r="P29" s="13"/>
      <c r="Q29" s="13"/>
      <c r="R29" s="13"/>
      <c r="S29" s="13"/>
    </row>
    <row r="30">
      <c r="A30" s="149">
        <v>23.0</v>
      </c>
      <c r="B30" s="159" t="s">
        <v>58</v>
      </c>
      <c r="C30" s="151">
        <v>0.3590277777777778</v>
      </c>
      <c r="D30" s="5"/>
      <c r="E30" s="151">
        <v>0.5006944444444444</v>
      </c>
      <c r="F30" s="5"/>
      <c r="G30" s="151">
        <v>0.5555555555555556</v>
      </c>
      <c r="H30" s="5"/>
      <c r="I30" s="151">
        <v>0.7465277777777778</v>
      </c>
      <c r="J30" s="5"/>
      <c r="K30" s="6"/>
      <c r="L30" s="29">
        <v>-33.0</v>
      </c>
      <c r="M30" s="39">
        <v>30.0</v>
      </c>
      <c r="N30" s="29"/>
      <c r="O30" s="37"/>
      <c r="P30" s="35"/>
      <c r="Q30" s="13"/>
      <c r="R30" s="13"/>
      <c r="S30" s="29" t="s">
        <v>106</v>
      </c>
    </row>
    <row r="31">
      <c r="A31" s="149">
        <v>24.0</v>
      </c>
      <c r="B31" s="158" t="s">
        <v>18</v>
      </c>
      <c r="C31" s="151">
        <v>0.35555555555555557</v>
      </c>
      <c r="D31" s="5"/>
      <c r="E31" s="151">
        <v>0.5118055555555555</v>
      </c>
      <c r="F31" s="5"/>
      <c r="G31" s="151">
        <v>0.5590277777777778</v>
      </c>
      <c r="H31" s="5"/>
      <c r="I31" s="151">
        <v>0.7444444444444445</v>
      </c>
      <c r="J31" s="5"/>
      <c r="K31" s="6"/>
      <c r="L31" s="29">
        <v>-18.0</v>
      </c>
      <c r="M31" s="39">
        <v>30.0</v>
      </c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19</v>
      </c>
      <c r="C32" s="151">
        <v>0.36666666666666664</v>
      </c>
      <c r="D32" s="5"/>
      <c r="E32" s="151">
        <v>0.5125</v>
      </c>
      <c r="F32" s="5"/>
      <c r="G32" s="151">
        <v>0.5638888888888889</v>
      </c>
      <c r="H32" s="5"/>
      <c r="I32" s="151">
        <v>0.75</v>
      </c>
      <c r="J32" s="5"/>
      <c r="K32" s="6"/>
      <c r="L32" s="29">
        <v>-32.0</v>
      </c>
      <c r="M32" s="39">
        <v>30.0</v>
      </c>
      <c r="N32" s="29"/>
      <c r="O32" s="31"/>
      <c r="P32" s="35"/>
      <c r="Q32" s="13"/>
      <c r="R32" s="13"/>
      <c r="S32" s="29"/>
    </row>
    <row r="33">
      <c r="A33" s="149">
        <v>26.0</v>
      </c>
      <c r="B33" s="159" t="s">
        <v>20</v>
      </c>
      <c r="C33" s="150">
        <v>0.3659722222222222</v>
      </c>
      <c r="D33" s="5"/>
      <c r="E33" s="150">
        <v>0.5083333333333333</v>
      </c>
      <c r="F33" s="5"/>
      <c r="G33" s="150">
        <v>0.5645833333333333</v>
      </c>
      <c r="H33" s="5"/>
      <c r="I33" s="150">
        <v>0.7458333333333333</v>
      </c>
      <c r="J33" s="5"/>
      <c r="K33" s="6"/>
      <c r="L33" s="29">
        <v>-44.0</v>
      </c>
      <c r="M33" s="39">
        <v>30.0</v>
      </c>
      <c r="N33" s="29"/>
      <c r="O33" s="37"/>
      <c r="P33" s="35"/>
      <c r="Q33" s="13"/>
      <c r="R33" s="13"/>
      <c r="S33" s="13"/>
    </row>
    <row r="34">
      <c r="A34" s="149">
        <v>27.0</v>
      </c>
      <c r="B34" s="159" t="s">
        <v>21</v>
      </c>
      <c r="C34" s="150">
        <v>0.3333333333333333</v>
      </c>
      <c r="D34" s="5"/>
      <c r="E34" s="147" t="s">
        <v>103</v>
      </c>
      <c r="F34" s="5"/>
      <c r="G34" s="147" t="s">
        <v>103</v>
      </c>
      <c r="H34" s="5"/>
      <c r="I34" s="150">
        <v>0.49583333333333335</v>
      </c>
      <c r="J34" s="5"/>
      <c r="K34" s="6"/>
      <c r="L34" s="29">
        <v>-6.0</v>
      </c>
      <c r="M34" s="39"/>
      <c r="N34" s="96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8" t="s">
        <v>23</v>
      </c>
      <c r="C35" s="181" t="s">
        <v>103</v>
      </c>
      <c r="D35" s="5"/>
      <c r="E35" s="181" t="s">
        <v>103</v>
      </c>
      <c r="F35" s="5"/>
      <c r="G35" s="181" t="s">
        <v>103</v>
      </c>
      <c r="H35" s="5"/>
      <c r="I35" s="181" t="s">
        <v>103</v>
      </c>
      <c r="J35" s="5"/>
      <c r="L35" s="29"/>
      <c r="M35" s="128"/>
      <c r="N35" s="29"/>
      <c r="O35" s="29"/>
      <c r="P35" s="35"/>
      <c r="Q35" s="13"/>
      <c r="R35" s="13"/>
      <c r="S35" s="29" t="s">
        <v>106</v>
      </c>
      <c r="T35" s="13"/>
      <c r="U35" s="13"/>
      <c r="V35" s="13"/>
    </row>
    <row r="36">
      <c r="A36" s="149">
        <v>29.0</v>
      </c>
      <c r="B36" s="159" t="s">
        <v>24</v>
      </c>
      <c r="C36" s="151">
        <v>0.3506944444444444</v>
      </c>
      <c r="D36" s="5"/>
      <c r="E36" s="151">
        <v>0.5048611111111111</v>
      </c>
      <c r="F36" s="5"/>
      <c r="G36" s="151">
        <v>0.5506944444444445</v>
      </c>
      <c r="H36" s="5"/>
      <c r="I36" s="151">
        <v>0.7541666666666667</v>
      </c>
      <c r="J36" s="5"/>
      <c r="K36" s="6"/>
      <c r="L36" s="29">
        <v>7.0</v>
      </c>
      <c r="M36" s="39">
        <v>30.0</v>
      </c>
      <c r="N36" s="93" t="s">
        <v>190</v>
      </c>
      <c r="O36" s="189">
        <v>-0.16875</v>
      </c>
      <c r="P36" s="94"/>
      <c r="Q36" s="13"/>
      <c r="R36" s="13"/>
      <c r="S36" s="97">
        <v>-0.16875</v>
      </c>
      <c r="T36" s="129">
        <v>0.45625</v>
      </c>
    </row>
    <row r="37">
      <c r="A37" s="163">
        <v>30.0</v>
      </c>
      <c r="B37" s="159" t="s">
        <v>58</v>
      </c>
      <c r="C37" s="151">
        <v>0.3541666666666667</v>
      </c>
      <c r="D37" s="5"/>
      <c r="E37" s="151">
        <v>0.5027777777777778</v>
      </c>
      <c r="F37" s="5"/>
      <c r="G37" s="151">
        <v>0.5534722222222223</v>
      </c>
      <c r="H37" s="5"/>
      <c r="I37" s="151">
        <v>0.7506944444444444</v>
      </c>
      <c r="J37" s="5"/>
      <c r="K37" s="6"/>
      <c r="L37" s="29">
        <v>-12.0</v>
      </c>
      <c r="M37" s="39">
        <v>30.0</v>
      </c>
      <c r="N37" s="93" t="s">
        <v>190</v>
      </c>
      <c r="O37" s="189">
        <v>-0.17708333333333334</v>
      </c>
      <c r="P37" s="94">
        <v>0.4979166666666667</v>
      </c>
      <c r="Q37" s="13"/>
      <c r="R37" s="13"/>
      <c r="S37" s="29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3"/>
      <c r="M38" s="13"/>
      <c r="N38" s="13"/>
      <c r="O38" s="29"/>
      <c r="P38" s="13"/>
      <c r="Q38" s="13"/>
      <c r="R38" s="13"/>
      <c r="S38" s="13"/>
    </row>
    <row r="39">
      <c r="A39" s="107" t="s">
        <v>196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35">
        <v>0.32083333333333336</v>
      </c>
      <c r="N39" s="13"/>
      <c r="O39" s="29"/>
      <c r="P39" s="13"/>
      <c r="Q39" s="13"/>
      <c r="R39" s="13"/>
      <c r="S39" s="13"/>
    </row>
    <row r="40">
      <c r="A40" s="107" t="s">
        <v>197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  <c r="Q40" s="13"/>
      <c r="R40" s="13"/>
      <c r="S40" s="13"/>
    </row>
    <row r="41">
      <c r="A41" s="132" t="s">
        <v>198</v>
      </c>
      <c r="B41" s="3"/>
      <c r="C41" s="3"/>
      <c r="D41" s="3"/>
      <c r="E41" s="3"/>
      <c r="F41" s="3"/>
      <c r="G41" s="3"/>
      <c r="H41" s="3"/>
      <c r="I41" s="3"/>
      <c r="J41" s="2"/>
      <c r="K41" s="6"/>
      <c r="L41" s="13"/>
      <c r="M41" s="13"/>
      <c r="N41" s="13"/>
      <c r="O41" s="29">
        <v>4.15</v>
      </c>
      <c r="P41" s="29">
        <v>11.57</v>
      </c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  <row r="51">
      <c r="L51" s="141"/>
    </row>
  </sheetData>
  <mergeCells count="145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4:E44"/>
    <mergeCell ref="F44:G44"/>
    <mergeCell ref="D45:E45"/>
    <mergeCell ref="F45:G45"/>
    <mergeCell ref="A38:J38"/>
    <mergeCell ref="A39:J39"/>
    <mergeCell ref="A40:J40"/>
    <mergeCell ref="A41:J41"/>
    <mergeCell ref="F42:G42"/>
    <mergeCell ref="D43:E43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6:D36"/>
    <mergeCell ref="E36:F36"/>
    <mergeCell ref="G36:H36"/>
    <mergeCell ref="I36:J36"/>
    <mergeCell ref="C37:D37"/>
    <mergeCell ref="E37:F37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1.38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174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199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  <c r="Q6" s="13"/>
      <c r="R6" s="13"/>
      <c r="S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8" t="s">
        <v>20</v>
      </c>
      <c r="C8" s="151">
        <v>0.3506944444444444</v>
      </c>
      <c r="D8" s="5"/>
      <c r="E8" s="151">
        <v>0.5527777777777778</v>
      </c>
      <c r="F8" s="5"/>
      <c r="G8" s="151">
        <v>0.6013888888888889</v>
      </c>
      <c r="H8" s="5"/>
      <c r="I8" s="151">
        <v>0.75</v>
      </c>
      <c r="J8" s="5"/>
      <c r="K8" s="12"/>
      <c r="L8" s="29">
        <v>0.0</v>
      </c>
      <c r="M8" s="13"/>
      <c r="N8" s="13"/>
      <c r="O8" s="13"/>
      <c r="P8" s="13"/>
      <c r="Q8" s="13"/>
      <c r="R8" s="13"/>
      <c r="S8" s="13"/>
    </row>
    <row r="9">
      <c r="A9" s="149">
        <v>2.0</v>
      </c>
      <c r="B9" s="159" t="s">
        <v>200</v>
      </c>
      <c r="C9" s="151">
        <v>0.3284722222222222</v>
      </c>
      <c r="D9" s="5"/>
      <c r="E9" s="181" t="s">
        <v>103</v>
      </c>
      <c r="F9" s="5"/>
      <c r="G9" s="181" t="s">
        <v>103</v>
      </c>
      <c r="H9" s="5"/>
      <c r="I9" s="151">
        <v>0.4986111111111111</v>
      </c>
      <c r="J9" s="5"/>
      <c r="K9" s="12"/>
      <c r="L9" s="29">
        <v>0.0</v>
      </c>
      <c r="M9" s="29"/>
      <c r="N9" s="13"/>
      <c r="O9" s="13"/>
      <c r="P9" s="13"/>
      <c r="Q9" s="13"/>
      <c r="R9" s="13"/>
      <c r="S9" s="13"/>
    </row>
    <row r="10">
      <c r="A10" s="149">
        <v>3.0</v>
      </c>
      <c r="B10" s="155" t="s">
        <v>29</v>
      </c>
      <c r="C10" s="147" t="s">
        <v>103</v>
      </c>
      <c r="D10" s="5"/>
      <c r="E10" s="147" t="s">
        <v>103</v>
      </c>
      <c r="F10" s="5"/>
      <c r="G10" s="147" t="s">
        <v>103</v>
      </c>
      <c r="H10" s="5"/>
      <c r="I10" s="147" t="s">
        <v>103</v>
      </c>
      <c r="J10" s="5"/>
      <c r="K10" s="12"/>
      <c r="L10" s="29"/>
      <c r="M10" s="13"/>
      <c r="N10" s="13"/>
      <c r="O10" s="13"/>
      <c r="P10" s="13"/>
      <c r="Q10" s="13"/>
      <c r="R10" s="13"/>
      <c r="S10" s="13"/>
    </row>
    <row r="11">
      <c r="A11" s="149">
        <v>4.0</v>
      </c>
      <c r="B11" s="158" t="s">
        <v>24</v>
      </c>
      <c r="C11" s="150">
        <v>0.34930555555555554</v>
      </c>
      <c r="D11" s="5"/>
      <c r="E11" s="150">
        <v>0.55</v>
      </c>
      <c r="F11" s="5"/>
      <c r="G11" s="150">
        <v>0.5951388888888889</v>
      </c>
      <c r="H11" s="5"/>
      <c r="I11" s="150">
        <v>0.7458333333333333</v>
      </c>
      <c r="J11" s="5"/>
      <c r="K11" s="12"/>
      <c r="L11" s="29">
        <v>0.0</v>
      </c>
      <c r="M11" s="13"/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25</v>
      </c>
      <c r="C12" s="150">
        <v>0.35</v>
      </c>
      <c r="D12" s="5"/>
      <c r="E12" s="150">
        <v>0.5534722222222223</v>
      </c>
      <c r="F12" s="5"/>
      <c r="G12" s="150">
        <v>0.6</v>
      </c>
      <c r="H12" s="5"/>
      <c r="I12" s="150">
        <v>0.75</v>
      </c>
      <c r="J12" s="5"/>
      <c r="K12" s="12"/>
      <c r="L12" s="29">
        <v>0.0</v>
      </c>
      <c r="M12" s="13"/>
      <c r="N12" s="13"/>
      <c r="O12" s="13"/>
      <c r="P12" s="13"/>
      <c r="Q12" s="13"/>
      <c r="R12" s="13"/>
      <c r="S12" s="13"/>
    </row>
    <row r="13">
      <c r="A13" s="149">
        <v>6.0</v>
      </c>
      <c r="B13" s="155" t="s">
        <v>18</v>
      </c>
      <c r="C13" s="150">
        <v>0.35</v>
      </c>
      <c r="D13" s="5"/>
      <c r="E13" s="150">
        <v>0.5520833333333334</v>
      </c>
      <c r="F13" s="5"/>
      <c r="G13" s="150">
        <v>0.6</v>
      </c>
      <c r="H13" s="5"/>
      <c r="I13" s="150">
        <v>0.7479166666666667</v>
      </c>
      <c r="J13" s="5"/>
      <c r="K13" s="12"/>
      <c r="L13" s="29">
        <v>0.0</v>
      </c>
      <c r="M13" s="29"/>
      <c r="N13" s="29"/>
      <c r="O13" s="29"/>
      <c r="P13" s="13"/>
      <c r="Q13" s="13"/>
      <c r="R13" s="13"/>
      <c r="S13" s="13"/>
    </row>
    <row r="14">
      <c r="A14" s="149">
        <v>7.0</v>
      </c>
      <c r="B14" s="155" t="s">
        <v>26</v>
      </c>
      <c r="C14" s="150">
        <v>0.3486111111111111</v>
      </c>
      <c r="D14" s="5"/>
      <c r="E14" s="150">
        <v>0.5472222222222223</v>
      </c>
      <c r="F14" s="5"/>
      <c r="G14" s="150">
        <v>0.5916666666666667</v>
      </c>
      <c r="H14" s="5"/>
      <c r="I14" s="150">
        <v>0.7465277777777778</v>
      </c>
      <c r="J14" s="5"/>
      <c r="K14" s="12"/>
      <c r="L14" s="29">
        <v>0.0</v>
      </c>
      <c r="M14" s="13"/>
      <c r="N14" s="13"/>
      <c r="O14" s="13"/>
      <c r="P14" s="13"/>
      <c r="Q14" s="13"/>
      <c r="R14" s="13"/>
      <c r="S14" s="13"/>
    </row>
    <row r="15">
      <c r="A15" s="149">
        <v>8.0</v>
      </c>
      <c r="B15" s="158" t="s">
        <v>20</v>
      </c>
      <c r="C15" s="150">
        <v>0.3486111111111111</v>
      </c>
      <c r="D15" s="5"/>
      <c r="E15" s="151">
        <v>0.5534722222222223</v>
      </c>
      <c r="F15" s="5"/>
      <c r="G15" s="151">
        <v>0.5986111111111111</v>
      </c>
      <c r="H15" s="5"/>
      <c r="I15" s="151">
        <v>0.7465277777777778</v>
      </c>
      <c r="J15" s="5"/>
      <c r="K15" s="12"/>
      <c r="L15" s="29">
        <v>0.0</v>
      </c>
      <c r="M15" s="13"/>
      <c r="N15" s="29"/>
      <c r="O15" s="29"/>
      <c r="P15" s="29"/>
      <c r="Q15" s="13"/>
      <c r="R15" s="13"/>
      <c r="S15" s="13"/>
    </row>
    <row r="16">
      <c r="A16" s="149">
        <v>9.0</v>
      </c>
      <c r="B16" s="159" t="s">
        <v>21</v>
      </c>
      <c r="C16" s="151">
        <v>0.32916666666666666</v>
      </c>
      <c r="D16" s="5"/>
      <c r="E16" s="181" t="s">
        <v>103</v>
      </c>
      <c r="F16" s="5"/>
      <c r="G16" s="181" t="s">
        <v>103</v>
      </c>
      <c r="H16" s="5"/>
      <c r="I16" s="151">
        <v>0.5006944444444444</v>
      </c>
      <c r="J16" s="5"/>
      <c r="K16" s="12"/>
      <c r="L16" s="29">
        <v>7.0</v>
      </c>
      <c r="M16" s="13"/>
      <c r="N16" s="13"/>
      <c r="O16" s="13"/>
      <c r="P16" s="13"/>
      <c r="Q16" s="13"/>
      <c r="R16" s="13"/>
      <c r="S16" s="13"/>
    </row>
    <row r="17">
      <c r="A17" s="149">
        <v>10.0</v>
      </c>
      <c r="B17" s="155" t="s">
        <v>23</v>
      </c>
      <c r="C17" s="147" t="s">
        <v>103</v>
      </c>
      <c r="D17" s="5"/>
      <c r="E17" s="147" t="s">
        <v>103</v>
      </c>
      <c r="F17" s="5"/>
      <c r="G17" s="147" t="s">
        <v>103</v>
      </c>
      <c r="H17" s="5"/>
      <c r="I17" s="147" t="s">
        <v>103</v>
      </c>
      <c r="J17" s="5"/>
      <c r="K17" s="12"/>
      <c r="L17" s="39"/>
      <c r="M17" s="29"/>
      <c r="N17" s="31"/>
      <c r="O17" s="29"/>
      <c r="P17" s="13"/>
      <c r="Q17" s="13"/>
      <c r="R17" s="13"/>
      <c r="S17" s="13"/>
    </row>
    <row r="18">
      <c r="A18" s="149">
        <v>11.0</v>
      </c>
      <c r="B18" s="158" t="s">
        <v>24</v>
      </c>
      <c r="C18" s="150">
        <v>0.34930555555555554</v>
      </c>
      <c r="D18" s="5"/>
      <c r="E18" s="150">
        <v>0.5597222222222222</v>
      </c>
      <c r="F18" s="5"/>
      <c r="G18" s="150">
        <v>0.6048611111111111</v>
      </c>
      <c r="H18" s="5"/>
      <c r="I18" s="150">
        <v>0.7513888888888889</v>
      </c>
      <c r="J18" s="5"/>
      <c r="K18" s="12"/>
      <c r="L18" s="29">
        <v>9.0</v>
      </c>
      <c r="M18" s="13"/>
      <c r="N18" s="13"/>
      <c r="O18" s="13"/>
      <c r="P18" s="13"/>
      <c r="Q18" s="13"/>
      <c r="R18" s="13"/>
      <c r="S18" s="13"/>
    </row>
    <row r="19">
      <c r="A19" s="149">
        <v>12.0</v>
      </c>
      <c r="B19" s="159" t="s">
        <v>25</v>
      </c>
      <c r="C19" s="150">
        <v>0.34930555555555554</v>
      </c>
      <c r="D19" s="5"/>
      <c r="E19" s="150">
        <v>0.5555555555555556</v>
      </c>
      <c r="F19" s="5"/>
      <c r="G19" s="150">
        <v>0.6020833333333333</v>
      </c>
      <c r="H19" s="5"/>
      <c r="I19" s="150">
        <v>0.7520833333333333</v>
      </c>
      <c r="J19" s="5"/>
      <c r="K19" s="12"/>
      <c r="L19" s="39">
        <v>8.0</v>
      </c>
      <c r="M19" s="29"/>
      <c r="N19" s="13"/>
      <c r="O19" s="13"/>
      <c r="P19" s="13"/>
      <c r="Q19" s="13"/>
      <c r="R19" s="13"/>
      <c r="S19" s="13"/>
    </row>
    <row r="20">
      <c r="A20" s="149">
        <v>13.0</v>
      </c>
      <c r="B20" s="159" t="s">
        <v>18</v>
      </c>
      <c r="C20" s="150">
        <v>0.34791666666666665</v>
      </c>
      <c r="D20" s="5"/>
      <c r="E20" s="150">
        <v>0.5520833333333334</v>
      </c>
      <c r="F20" s="5"/>
      <c r="G20" s="150">
        <v>0.5972222222222222</v>
      </c>
      <c r="H20" s="5"/>
      <c r="I20" s="150">
        <v>0.7465277777777778</v>
      </c>
      <c r="J20" s="5"/>
      <c r="K20" s="12"/>
      <c r="L20" s="29">
        <v>0.0</v>
      </c>
      <c r="M20" s="13"/>
      <c r="N20" s="13"/>
      <c r="O20" s="13"/>
      <c r="P20" s="13"/>
      <c r="Q20" s="13"/>
      <c r="R20" s="13"/>
      <c r="S20" s="13"/>
    </row>
    <row r="21">
      <c r="A21" s="149">
        <v>14.0</v>
      </c>
      <c r="B21" s="155" t="s">
        <v>26</v>
      </c>
      <c r="C21" s="150">
        <v>0.35</v>
      </c>
      <c r="D21" s="5"/>
      <c r="E21" s="150">
        <v>0.5527777777777778</v>
      </c>
      <c r="F21" s="5"/>
      <c r="G21" s="150">
        <v>0.5986111111111111</v>
      </c>
      <c r="H21" s="5"/>
      <c r="I21" s="150">
        <v>0.7541666666666667</v>
      </c>
      <c r="J21" s="5"/>
      <c r="K21" s="12"/>
      <c r="L21" s="29">
        <v>11.0</v>
      </c>
      <c r="M21" s="13"/>
      <c r="N21" s="93" t="s">
        <v>190</v>
      </c>
      <c r="O21" s="94">
        <v>0.0125</v>
      </c>
      <c r="P21" s="95"/>
      <c r="Q21" s="13"/>
      <c r="R21" s="13"/>
      <c r="S21" s="29" t="s">
        <v>106</v>
      </c>
    </row>
    <row r="22">
      <c r="A22" s="149">
        <v>15.0</v>
      </c>
      <c r="B22" s="158" t="s">
        <v>201</v>
      </c>
      <c r="C22" s="150">
        <v>0.3486111111111111</v>
      </c>
      <c r="D22" s="5"/>
      <c r="E22" s="151">
        <v>0.5618055555555556</v>
      </c>
      <c r="F22" s="5"/>
      <c r="G22" s="151">
        <v>0.6069444444444444</v>
      </c>
      <c r="H22" s="5"/>
      <c r="I22" s="150">
        <v>0.7493055555555556</v>
      </c>
      <c r="J22" s="5"/>
      <c r="K22" s="12"/>
      <c r="L22" s="29">
        <v>7.0</v>
      </c>
      <c r="M22" s="29"/>
      <c r="N22" s="31"/>
      <c r="O22" s="29"/>
      <c r="P22" s="13"/>
      <c r="Q22" s="13"/>
      <c r="R22" s="13"/>
      <c r="S22" s="13"/>
    </row>
    <row r="23">
      <c r="A23" s="149">
        <v>16.0</v>
      </c>
      <c r="B23" s="159" t="s">
        <v>21</v>
      </c>
      <c r="C23" s="147" t="s">
        <v>103</v>
      </c>
      <c r="D23" s="5"/>
      <c r="E23" s="147" t="s">
        <v>103</v>
      </c>
      <c r="F23" s="5"/>
      <c r="G23" s="147" t="s">
        <v>103</v>
      </c>
      <c r="H23" s="5"/>
      <c r="I23" s="194"/>
      <c r="J23" s="195"/>
      <c r="K23" s="12"/>
      <c r="L23" s="29"/>
      <c r="M23" s="13"/>
      <c r="N23" s="13"/>
      <c r="O23" s="13"/>
      <c r="P23" s="13"/>
      <c r="Q23" s="13"/>
      <c r="R23" s="13"/>
      <c r="S23" s="13"/>
    </row>
    <row r="24">
      <c r="A24" s="149">
        <v>17.0</v>
      </c>
      <c r="B24" s="155" t="s">
        <v>23</v>
      </c>
      <c r="C24" s="147" t="s">
        <v>103</v>
      </c>
      <c r="D24" s="5"/>
      <c r="E24" s="147" t="s">
        <v>103</v>
      </c>
      <c r="F24" s="5"/>
      <c r="G24" s="147" t="s">
        <v>103</v>
      </c>
      <c r="H24" s="5"/>
      <c r="I24" s="147" t="s">
        <v>103</v>
      </c>
      <c r="J24" s="5"/>
      <c r="K24" s="12"/>
      <c r="L24" s="29"/>
      <c r="M24" s="13"/>
      <c r="N24" s="29"/>
      <c r="O24" s="29"/>
      <c r="P24" s="29"/>
      <c r="Q24" s="13"/>
      <c r="R24" s="13"/>
      <c r="S24" s="13"/>
    </row>
    <row r="25">
      <c r="A25" s="149">
        <v>18.0</v>
      </c>
      <c r="B25" s="158" t="s">
        <v>202</v>
      </c>
      <c r="C25" s="150">
        <v>0.35</v>
      </c>
      <c r="D25" s="5"/>
      <c r="E25" s="150">
        <v>0.5555555555555556</v>
      </c>
      <c r="F25" s="5"/>
      <c r="G25" s="150">
        <v>0.6006944444444444</v>
      </c>
      <c r="H25" s="5"/>
      <c r="I25" s="150">
        <v>0.7520833333333333</v>
      </c>
      <c r="J25" s="5"/>
      <c r="K25" s="12"/>
      <c r="L25" s="29">
        <v>9.0</v>
      </c>
      <c r="M25" s="13"/>
      <c r="N25" s="13"/>
      <c r="O25" s="13"/>
      <c r="P25" s="13"/>
      <c r="Q25" s="13"/>
      <c r="R25" s="13"/>
      <c r="S25" s="13"/>
    </row>
    <row r="26">
      <c r="A26" s="149">
        <v>19.0</v>
      </c>
      <c r="B26" s="159" t="s">
        <v>58</v>
      </c>
      <c r="C26" s="150">
        <v>0.3506944444444444</v>
      </c>
      <c r="D26" s="5"/>
      <c r="E26" s="150">
        <v>0.54375</v>
      </c>
      <c r="F26" s="5"/>
      <c r="G26" s="150">
        <v>0.5888888888888889</v>
      </c>
      <c r="H26" s="5"/>
      <c r="I26" s="150">
        <v>0.7430555555555556</v>
      </c>
      <c r="J26" s="5"/>
      <c r="K26" s="40"/>
      <c r="L26" s="29">
        <v>0.0</v>
      </c>
      <c r="M26" s="29"/>
      <c r="N26" s="93" t="s">
        <v>190</v>
      </c>
      <c r="O26" s="94">
        <v>0.02361111111111111</v>
      </c>
      <c r="P26" s="95"/>
      <c r="Q26" s="13"/>
      <c r="R26" s="13"/>
      <c r="S26" s="13"/>
    </row>
    <row r="27">
      <c r="A27" s="149">
        <v>20.0</v>
      </c>
      <c r="B27" s="159" t="s">
        <v>18</v>
      </c>
      <c r="C27" s="150">
        <v>0.34930555555555554</v>
      </c>
      <c r="D27" s="5"/>
      <c r="E27" s="150">
        <v>0.5486111111111112</v>
      </c>
      <c r="F27" s="5"/>
      <c r="G27" s="150">
        <v>0.5951388888888889</v>
      </c>
      <c r="H27" s="5"/>
      <c r="I27" s="150">
        <v>0.7465277777777778</v>
      </c>
      <c r="J27" s="5"/>
      <c r="K27" s="12"/>
      <c r="L27" s="29">
        <v>0.0</v>
      </c>
      <c r="M27" s="13"/>
      <c r="N27" s="13"/>
      <c r="O27" s="13"/>
      <c r="P27" s="13"/>
      <c r="Q27" s="13"/>
      <c r="R27" s="13"/>
      <c r="S27" s="13"/>
    </row>
    <row r="28">
      <c r="A28" s="149">
        <v>21.0</v>
      </c>
      <c r="B28" s="158" t="s">
        <v>19</v>
      </c>
      <c r="C28" s="150">
        <v>0.3458333333333333</v>
      </c>
      <c r="D28" s="5"/>
      <c r="E28" s="150">
        <v>0.5548611111111111</v>
      </c>
      <c r="F28" s="5"/>
      <c r="G28" s="150">
        <v>0.6006944444444444</v>
      </c>
      <c r="H28" s="5"/>
      <c r="I28" s="150">
        <v>0.7444444444444445</v>
      </c>
      <c r="J28" s="5"/>
      <c r="K28" s="12"/>
      <c r="L28" s="29">
        <v>0.0</v>
      </c>
      <c r="M28" s="13"/>
      <c r="N28" s="13"/>
      <c r="O28" s="13"/>
      <c r="P28" s="13"/>
      <c r="Q28" s="13"/>
      <c r="R28" s="13"/>
      <c r="S28" s="13"/>
    </row>
    <row r="29">
      <c r="A29" s="149">
        <v>22.0</v>
      </c>
      <c r="B29" s="159" t="s">
        <v>20</v>
      </c>
      <c r="C29" s="151">
        <v>0.34791666666666665</v>
      </c>
      <c r="D29" s="5"/>
      <c r="E29" s="151">
        <v>0.5548611111111111</v>
      </c>
      <c r="F29" s="5"/>
      <c r="G29" s="151">
        <v>0.5993055555555555</v>
      </c>
      <c r="H29" s="5"/>
      <c r="I29" s="151">
        <v>0.7465277777777778</v>
      </c>
      <c r="J29" s="5"/>
      <c r="K29" s="12"/>
      <c r="L29" s="29">
        <v>0.0</v>
      </c>
      <c r="M29" s="13"/>
      <c r="N29" s="93" t="s">
        <v>190</v>
      </c>
      <c r="O29" s="94">
        <v>0.02361111111111111</v>
      </c>
      <c r="P29" s="95"/>
      <c r="Q29" s="13"/>
      <c r="R29" s="13"/>
      <c r="S29" s="29" t="s">
        <v>154</v>
      </c>
    </row>
    <row r="30">
      <c r="A30" s="149">
        <v>23.0</v>
      </c>
      <c r="B30" s="159" t="s">
        <v>21</v>
      </c>
      <c r="C30" s="181" t="s">
        <v>103</v>
      </c>
      <c r="D30" s="5"/>
      <c r="E30" s="181" t="s">
        <v>103</v>
      </c>
      <c r="F30" s="5"/>
      <c r="G30" s="181" t="s">
        <v>103</v>
      </c>
      <c r="H30" s="5"/>
      <c r="I30" s="181" t="s">
        <v>103</v>
      </c>
      <c r="J30" s="5"/>
      <c r="K30" s="12"/>
      <c r="L30" s="29"/>
      <c r="M30" s="13"/>
      <c r="N30" s="13"/>
      <c r="O30" s="13"/>
      <c r="P30" s="13"/>
      <c r="Q30" s="13"/>
      <c r="R30" s="13"/>
      <c r="S30" s="13"/>
    </row>
    <row r="31">
      <c r="A31" s="149">
        <v>24.0</v>
      </c>
      <c r="B31" s="158" t="s">
        <v>23</v>
      </c>
      <c r="C31" s="181" t="s">
        <v>103</v>
      </c>
      <c r="D31" s="5"/>
      <c r="E31" s="147" t="s">
        <v>103</v>
      </c>
      <c r="F31" s="5"/>
      <c r="G31" s="147" t="s">
        <v>103</v>
      </c>
      <c r="H31" s="5"/>
      <c r="I31" s="147" t="s">
        <v>103</v>
      </c>
      <c r="J31" s="5"/>
      <c r="K31" s="12"/>
      <c r="L31" s="29"/>
      <c r="M31" s="13"/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202</v>
      </c>
      <c r="C32" s="150">
        <v>0.34930555555555554</v>
      </c>
      <c r="D32" s="5"/>
      <c r="E32" s="150">
        <v>0.5534722222222223</v>
      </c>
      <c r="F32" s="5"/>
      <c r="G32" s="150">
        <v>0.6020833333333333</v>
      </c>
      <c r="H32" s="5"/>
      <c r="I32" s="150">
        <v>0.7458333333333333</v>
      </c>
      <c r="J32" s="5"/>
      <c r="K32" s="12"/>
      <c r="L32" s="29">
        <v>0.0</v>
      </c>
      <c r="M32" s="13"/>
      <c r="N32" s="29"/>
      <c r="O32" s="29"/>
      <c r="P32" s="29"/>
      <c r="Q32" s="13"/>
      <c r="R32" s="13"/>
      <c r="S32" s="13"/>
    </row>
    <row r="33">
      <c r="A33" s="149">
        <v>26.0</v>
      </c>
      <c r="B33" s="159" t="s">
        <v>58</v>
      </c>
      <c r="C33" s="150">
        <v>0.34791666666666665</v>
      </c>
      <c r="D33" s="5"/>
      <c r="E33" s="150">
        <v>0.5659722222222222</v>
      </c>
      <c r="F33" s="5"/>
      <c r="G33" s="150">
        <v>0.6111111111111112</v>
      </c>
      <c r="H33" s="5"/>
      <c r="I33" s="150">
        <v>0.7520833333333333</v>
      </c>
      <c r="J33" s="5"/>
      <c r="K33" s="12"/>
      <c r="L33" s="29">
        <v>12.0</v>
      </c>
      <c r="M33" s="29"/>
      <c r="N33" s="29"/>
      <c r="O33" s="35"/>
      <c r="P33" s="13"/>
      <c r="Q33" s="13"/>
      <c r="R33" s="13"/>
      <c r="S33" s="13"/>
    </row>
    <row r="34">
      <c r="A34" s="149">
        <v>27.0</v>
      </c>
      <c r="B34" s="159" t="s">
        <v>18</v>
      </c>
      <c r="C34" s="150">
        <v>0.34930555555555554</v>
      </c>
      <c r="D34" s="5"/>
      <c r="E34" s="150">
        <v>0.5576388888888889</v>
      </c>
      <c r="F34" s="5"/>
      <c r="G34" s="150">
        <v>0.6034722222222222</v>
      </c>
      <c r="H34" s="5"/>
      <c r="I34" s="150">
        <v>0.7472222222222222</v>
      </c>
      <c r="J34" s="5"/>
      <c r="K34" s="12"/>
      <c r="L34" s="29">
        <v>0.0</v>
      </c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149">
        <v>28.0</v>
      </c>
      <c r="B35" s="158" t="s">
        <v>19</v>
      </c>
      <c r="C35" s="151">
        <v>0.34791666666666665</v>
      </c>
      <c r="D35" s="5"/>
      <c r="E35" s="151">
        <v>0.55</v>
      </c>
      <c r="F35" s="5"/>
      <c r="G35" s="151">
        <v>0.5958333333333333</v>
      </c>
      <c r="H35" s="5"/>
      <c r="I35" s="151">
        <v>0.7472222222222222</v>
      </c>
      <c r="J35" s="5"/>
      <c r="K35" s="13"/>
      <c r="L35" s="29">
        <v>0.0</v>
      </c>
      <c r="M35" s="46"/>
      <c r="N35" s="93" t="s">
        <v>190</v>
      </c>
      <c r="O35" s="94">
        <v>0.03194444444444444</v>
      </c>
      <c r="P35" s="95"/>
      <c r="Q35" s="13"/>
      <c r="R35" s="13"/>
      <c r="S35" s="29" t="s">
        <v>106</v>
      </c>
      <c r="T35" s="13"/>
      <c r="U35" s="13"/>
      <c r="V35" s="13"/>
    </row>
    <row r="36">
      <c r="A36" s="149">
        <v>29.0</v>
      </c>
      <c r="B36" s="159" t="s">
        <v>20</v>
      </c>
      <c r="C36" s="151">
        <v>0.34791666666666665</v>
      </c>
      <c r="D36" s="5"/>
      <c r="E36" s="150">
        <v>0.5472222222222223</v>
      </c>
      <c r="F36" s="5"/>
      <c r="G36" s="150">
        <v>0.5951388888888889</v>
      </c>
      <c r="H36" s="5"/>
      <c r="I36" s="150">
        <v>0.7444444444444445</v>
      </c>
      <c r="J36" s="5"/>
      <c r="K36" s="12"/>
      <c r="L36" s="29">
        <v>0.0</v>
      </c>
      <c r="M36" s="13"/>
      <c r="N36" s="196" t="s">
        <v>190</v>
      </c>
      <c r="O36" s="197">
        <v>0.03194444444444444</v>
      </c>
      <c r="P36" s="198"/>
      <c r="Q36" s="165"/>
      <c r="R36" s="165"/>
      <c r="S36" s="165"/>
    </row>
    <row r="37">
      <c r="A37" s="163">
        <v>30.0</v>
      </c>
      <c r="B37" s="159" t="s">
        <v>21</v>
      </c>
      <c r="C37" s="181" t="s">
        <v>103</v>
      </c>
      <c r="D37" s="5"/>
      <c r="E37" s="181" t="s">
        <v>103</v>
      </c>
      <c r="F37" s="5"/>
      <c r="G37" s="181" t="s">
        <v>103</v>
      </c>
      <c r="H37" s="5"/>
      <c r="I37" s="181" t="s">
        <v>103</v>
      </c>
      <c r="J37" s="5"/>
      <c r="K37" s="12"/>
      <c r="L37" s="29"/>
      <c r="M37" s="13"/>
      <c r="N37" s="29"/>
      <c r="O37" s="29"/>
      <c r="P37" s="29"/>
      <c r="Q37" s="13"/>
      <c r="R37" s="13"/>
      <c r="S37" s="13"/>
    </row>
    <row r="38">
      <c r="A38" s="163">
        <v>31.0</v>
      </c>
      <c r="B38" s="158" t="s">
        <v>23</v>
      </c>
      <c r="C38" s="181" t="s">
        <v>103</v>
      </c>
      <c r="D38" s="5"/>
      <c r="E38" s="147" t="s">
        <v>103</v>
      </c>
      <c r="F38" s="5"/>
      <c r="G38" s="147" t="s">
        <v>103</v>
      </c>
      <c r="H38" s="5"/>
      <c r="I38" s="147" t="s">
        <v>103</v>
      </c>
      <c r="J38" s="5"/>
      <c r="K38" s="12"/>
      <c r="L38" s="29"/>
      <c r="M38" s="29"/>
      <c r="N38" s="31"/>
      <c r="O38" s="29"/>
      <c r="P38" s="35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12"/>
      <c r="L39" s="13"/>
      <c r="M39" s="13"/>
      <c r="N39" s="13"/>
      <c r="O39" s="13"/>
      <c r="P39" s="13"/>
      <c r="Q39" s="13"/>
      <c r="R39" s="13"/>
      <c r="S39" s="13"/>
    </row>
    <row r="40">
      <c r="A40" s="107" t="s">
        <v>203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35"/>
      <c r="M40" s="13"/>
      <c r="N40" s="13"/>
      <c r="O40" s="13"/>
      <c r="P40" s="13"/>
      <c r="Q40" s="13"/>
      <c r="R40" s="13"/>
      <c r="S40" s="13"/>
    </row>
    <row r="41">
      <c r="A41" s="107" t="s">
        <v>156</v>
      </c>
      <c r="B41" s="15"/>
      <c r="C41" s="15"/>
      <c r="D41" s="15"/>
      <c r="E41" s="15"/>
      <c r="F41" s="15"/>
      <c r="G41" s="15"/>
      <c r="H41" s="15"/>
      <c r="I41" s="15"/>
      <c r="J41" s="5"/>
      <c r="K41" s="6"/>
    </row>
    <row r="42">
      <c r="A42" s="132" t="s">
        <v>204</v>
      </c>
      <c r="B42" s="3"/>
      <c r="C42" s="3"/>
      <c r="D42" s="3"/>
      <c r="E42" s="3"/>
      <c r="F42" s="3"/>
      <c r="G42" s="3"/>
      <c r="H42" s="3"/>
      <c r="I42" s="3"/>
      <c r="J42" s="2"/>
      <c r="K42" s="6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46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6:D26"/>
    <mergeCell ref="E26:F26"/>
    <mergeCell ref="G26:H26"/>
    <mergeCell ref="I26:J26"/>
    <mergeCell ref="E27:F27"/>
    <mergeCell ref="G27:H27"/>
    <mergeCell ref="I27:J27"/>
    <mergeCell ref="C27:D27"/>
    <mergeCell ref="C28:D28"/>
    <mergeCell ref="E28:F28"/>
    <mergeCell ref="G28:H28"/>
    <mergeCell ref="I28:J28"/>
    <mergeCell ref="C29:D29"/>
    <mergeCell ref="E29:F29"/>
    <mergeCell ref="E31:F31"/>
    <mergeCell ref="G31:H31"/>
    <mergeCell ref="G29:H29"/>
    <mergeCell ref="I29:J29"/>
    <mergeCell ref="C30:D30"/>
    <mergeCell ref="E30:F30"/>
    <mergeCell ref="G30:H30"/>
    <mergeCell ref="I30:J30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5:E45"/>
    <mergeCell ref="F45:G45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C21:D21"/>
    <mergeCell ref="C22:D22"/>
    <mergeCell ref="E22:F22"/>
    <mergeCell ref="G22:H22"/>
    <mergeCell ref="I22:J22"/>
    <mergeCell ref="E23:F23"/>
    <mergeCell ref="G23:H23"/>
    <mergeCell ref="G25:H25"/>
    <mergeCell ref="I25:J25"/>
    <mergeCell ref="C23:D23"/>
    <mergeCell ref="C24:D24"/>
    <mergeCell ref="E24:F24"/>
    <mergeCell ref="G24:H24"/>
    <mergeCell ref="I24:J24"/>
    <mergeCell ref="C25:D25"/>
    <mergeCell ref="E25:F25"/>
    <mergeCell ref="G37:H37"/>
    <mergeCell ref="I37:J37"/>
    <mergeCell ref="C38:D38"/>
    <mergeCell ref="E38:F38"/>
    <mergeCell ref="G38:H38"/>
    <mergeCell ref="I38:J38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9.75"/>
    <col customWidth="1" min="14" max="14" width="17.75"/>
    <col customWidth="1" min="16" max="16" width="9.5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</row>
    <row r="4">
      <c r="A4" s="66" t="s">
        <v>5</v>
      </c>
      <c r="B4" s="67" t="s">
        <v>181</v>
      </c>
      <c r="C4" s="15"/>
      <c r="D4" s="15"/>
      <c r="E4" s="15"/>
      <c r="F4" s="15"/>
      <c r="G4" s="68"/>
      <c r="H4" s="3"/>
      <c r="I4" s="68"/>
      <c r="J4" s="69"/>
      <c r="K4" s="6"/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205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  <c r="Q6" s="13"/>
      <c r="R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13"/>
      <c r="M7" s="13"/>
      <c r="N7" s="13"/>
      <c r="O7" s="13"/>
      <c r="P7" s="13"/>
      <c r="Q7" s="13"/>
      <c r="R7" s="13"/>
    </row>
    <row r="8">
      <c r="A8" s="148">
        <v>1.0</v>
      </c>
      <c r="B8" s="199" t="s">
        <v>20</v>
      </c>
      <c r="C8" s="151">
        <v>0.3506944444444444</v>
      </c>
      <c r="D8" s="5"/>
      <c r="E8" s="151">
        <v>0.5409722222222222</v>
      </c>
      <c r="F8" s="5"/>
      <c r="G8" s="151">
        <v>0.5819444444444445</v>
      </c>
      <c r="H8" s="5"/>
      <c r="I8" s="151">
        <v>0.7402777777777778</v>
      </c>
      <c r="J8" s="5"/>
      <c r="K8" s="12"/>
      <c r="L8" s="29">
        <v>-8.0</v>
      </c>
      <c r="M8" s="142">
        <v>30.0</v>
      </c>
      <c r="N8" s="13"/>
      <c r="O8" s="13"/>
      <c r="P8" s="13"/>
      <c r="Q8" s="13"/>
      <c r="R8" s="13"/>
    </row>
    <row r="9">
      <c r="A9" s="149">
        <v>2.0</v>
      </c>
      <c r="B9" s="200" t="s">
        <v>200</v>
      </c>
      <c r="C9" s="151">
        <v>0.3284722222222222</v>
      </c>
      <c r="D9" s="5"/>
      <c r="E9" s="181" t="s">
        <v>103</v>
      </c>
      <c r="F9" s="5"/>
      <c r="G9" s="181" t="s">
        <v>103</v>
      </c>
      <c r="H9" s="5"/>
      <c r="I9" s="151">
        <v>0.49722222222222223</v>
      </c>
      <c r="J9" s="5"/>
      <c r="K9" s="86"/>
      <c r="L9" s="29">
        <v>0.0</v>
      </c>
      <c r="M9" s="29"/>
      <c r="N9" s="13"/>
      <c r="O9" s="13"/>
      <c r="P9" s="13"/>
      <c r="Q9" s="13"/>
      <c r="R9" s="13"/>
    </row>
    <row r="10">
      <c r="A10" s="149">
        <v>3.0</v>
      </c>
      <c r="B10" s="201" t="s">
        <v>29</v>
      </c>
      <c r="C10" s="147" t="s">
        <v>103</v>
      </c>
      <c r="D10" s="5"/>
      <c r="E10" s="147" t="s">
        <v>103</v>
      </c>
      <c r="F10" s="5"/>
      <c r="G10" s="147" t="s">
        <v>103</v>
      </c>
      <c r="H10" s="5"/>
      <c r="I10" s="147" t="s">
        <v>103</v>
      </c>
      <c r="J10" s="5"/>
      <c r="K10" s="12"/>
      <c r="L10" s="29"/>
      <c r="M10" s="29"/>
      <c r="N10" s="13"/>
      <c r="O10" s="13"/>
      <c r="P10" s="13"/>
      <c r="Q10" s="13"/>
      <c r="R10" s="13"/>
    </row>
    <row r="11">
      <c r="A11" s="149">
        <v>4.0</v>
      </c>
      <c r="B11" s="199" t="s">
        <v>24</v>
      </c>
      <c r="C11" s="150">
        <v>0.3506944444444444</v>
      </c>
      <c r="D11" s="5"/>
      <c r="E11" s="150">
        <v>0.5409722222222222</v>
      </c>
      <c r="F11" s="5"/>
      <c r="G11" s="150">
        <v>0.5826388888888889</v>
      </c>
      <c r="H11" s="5"/>
      <c r="I11" s="150">
        <v>0.7451388888888889</v>
      </c>
      <c r="J11" s="5"/>
      <c r="K11" s="12"/>
      <c r="L11" s="29">
        <v>0.0</v>
      </c>
      <c r="M11" s="29">
        <v>30.0</v>
      </c>
      <c r="N11" s="13"/>
      <c r="O11" s="13"/>
      <c r="P11" s="13"/>
      <c r="Q11" s="13"/>
      <c r="R11" s="13"/>
    </row>
    <row r="12">
      <c r="A12" s="149">
        <v>5.0</v>
      </c>
      <c r="B12" s="201" t="s">
        <v>25</v>
      </c>
      <c r="C12" s="150">
        <v>0.34930555555555554</v>
      </c>
      <c r="D12" s="5"/>
      <c r="E12" s="150">
        <v>0.54375</v>
      </c>
      <c r="F12" s="5"/>
      <c r="G12" s="150">
        <v>0.5861111111111111</v>
      </c>
      <c r="H12" s="5"/>
      <c r="I12" s="150">
        <v>0.75</v>
      </c>
      <c r="J12" s="5"/>
      <c r="K12" s="12"/>
      <c r="L12" s="29">
        <v>6.0</v>
      </c>
      <c r="M12" s="29">
        <v>30.0</v>
      </c>
      <c r="N12" s="13"/>
      <c r="O12" s="13"/>
      <c r="P12" s="13"/>
      <c r="Q12" s="13"/>
      <c r="R12" s="13"/>
    </row>
    <row r="13">
      <c r="A13" s="149">
        <v>6.0</v>
      </c>
      <c r="B13" s="201" t="s">
        <v>18</v>
      </c>
      <c r="C13" s="150">
        <v>0.35</v>
      </c>
      <c r="D13" s="5"/>
      <c r="E13" s="150">
        <v>0.55625</v>
      </c>
      <c r="F13" s="5"/>
      <c r="G13" s="150">
        <v>0.5930555555555556</v>
      </c>
      <c r="H13" s="5"/>
      <c r="I13" s="150">
        <v>0.7479166666666667</v>
      </c>
      <c r="J13" s="5"/>
      <c r="K13" s="12"/>
      <c r="L13" s="29">
        <v>10.0</v>
      </c>
      <c r="M13" s="29">
        <v>30.0</v>
      </c>
      <c r="N13" s="29"/>
      <c r="O13" s="37"/>
      <c r="P13" s="35"/>
      <c r="Q13" s="29"/>
      <c r="R13" s="13"/>
    </row>
    <row r="14">
      <c r="A14" s="149">
        <v>7.0</v>
      </c>
      <c r="B14" s="201" t="s">
        <v>26</v>
      </c>
      <c r="C14" s="150">
        <v>0.3486111111111111</v>
      </c>
      <c r="D14" s="5"/>
      <c r="E14" s="150">
        <v>0.5409722222222222</v>
      </c>
      <c r="F14" s="5"/>
      <c r="G14" s="150">
        <v>0.5826388888888889</v>
      </c>
      <c r="H14" s="5"/>
      <c r="I14" s="150">
        <v>0.7388888888888889</v>
      </c>
      <c r="J14" s="5"/>
      <c r="K14" s="12"/>
      <c r="L14" s="29">
        <v>-8.0</v>
      </c>
      <c r="M14" s="29">
        <v>30.0</v>
      </c>
      <c r="N14" s="13"/>
      <c r="O14" s="13"/>
      <c r="P14" s="13"/>
      <c r="Q14" s="13"/>
      <c r="R14" s="13"/>
    </row>
    <row r="15">
      <c r="A15" s="149">
        <v>8.0</v>
      </c>
      <c r="B15" s="199" t="s">
        <v>20</v>
      </c>
      <c r="C15" s="150">
        <v>0.3486111111111111</v>
      </c>
      <c r="D15" s="5"/>
      <c r="E15" s="151">
        <v>0.5409722222222222</v>
      </c>
      <c r="F15" s="5"/>
      <c r="G15" s="151">
        <v>0.5833333333333334</v>
      </c>
      <c r="H15" s="5"/>
      <c r="I15" s="151">
        <v>0.7409722222222223</v>
      </c>
      <c r="J15" s="5"/>
      <c r="K15" s="12"/>
      <c r="L15" s="29">
        <v>0.0</v>
      </c>
      <c r="M15" s="29">
        <v>30.0</v>
      </c>
      <c r="N15" s="29"/>
      <c r="O15" s="29"/>
      <c r="P15" s="35"/>
      <c r="Q15" s="13"/>
      <c r="R15" s="13"/>
    </row>
    <row r="16">
      <c r="A16" s="149">
        <v>9.0</v>
      </c>
      <c r="B16" s="200" t="s">
        <v>21</v>
      </c>
      <c r="C16" s="151">
        <v>0.32916666666666666</v>
      </c>
      <c r="D16" s="5"/>
      <c r="E16" s="181" t="s">
        <v>103</v>
      </c>
      <c r="F16" s="5"/>
      <c r="G16" s="181" t="s">
        <v>103</v>
      </c>
      <c r="H16" s="5"/>
      <c r="I16" s="151">
        <v>0.49027777777777776</v>
      </c>
      <c r="J16" s="5"/>
      <c r="K16" s="12"/>
      <c r="L16" s="29">
        <v>-8.0</v>
      </c>
      <c r="M16" s="29"/>
      <c r="N16" s="13"/>
      <c r="O16" s="13"/>
      <c r="P16" s="13"/>
      <c r="Q16" s="13"/>
      <c r="R16" s="13"/>
    </row>
    <row r="17">
      <c r="A17" s="149">
        <v>10.0</v>
      </c>
      <c r="B17" s="201" t="s">
        <v>23</v>
      </c>
      <c r="C17" s="147" t="s">
        <v>103</v>
      </c>
      <c r="D17" s="5"/>
      <c r="E17" s="147" t="s">
        <v>103</v>
      </c>
      <c r="F17" s="5"/>
      <c r="G17" s="147" t="s">
        <v>103</v>
      </c>
      <c r="H17" s="5"/>
      <c r="I17" s="147" t="s">
        <v>103</v>
      </c>
      <c r="J17" s="5"/>
      <c r="K17" s="12"/>
      <c r="L17" s="29"/>
      <c r="M17" s="29"/>
      <c r="N17" s="13"/>
      <c r="O17" s="13"/>
      <c r="P17" s="13"/>
      <c r="Q17" s="13"/>
      <c r="R17" s="13"/>
    </row>
    <row r="18">
      <c r="A18" s="149">
        <v>11.0</v>
      </c>
      <c r="B18" s="199" t="s">
        <v>24</v>
      </c>
      <c r="C18" s="150">
        <v>0.3541666666666667</v>
      </c>
      <c r="D18" s="5"/>
      <c r="E18" s="150">
        <v>0.5409722222222222</v>
      </c>
      <c r="F18" s="5"/>
      <c r="G18" s="150">
        <v>0.5819444444444445</v>
      </c>
      <c r="H18" s="5"/>
      <c r="I18" s="150">
        <v>0.7513888888888889</v>
      </c>
      <c r="J18" s="5"/>
      <c r="K18" s="12"/>
      <c r="L18" s="29">
        <v>0.0</v>
      </c>
      <c r="M18" s="29">
        <v>30.0</v>
      </c>
      <c r="N18" s="13"/>
      <c r="O18" s="35"/>
      <c r="P18" s="13"/>
      <c r="Q18" s="13"/>
      <c r="R18" s="13"/>
    </row>
    <row r="19">
      <c r="A19" s="149">
        <v>12.0</v>
      </c>
      <c r="B19" s="200" t="s">
        <v>25</v>
      </c>
      <c r="C19" s="150">
        <v>0.3486111111111111</v>
      </c>
      <c r="D19" s="5"/>
      <c r="E19" s="150">
        <v>0.5409722222222222</v>
      </c>
      <c r="F19" s="5"/>
      <c r="G19" s="147" t="s">
        <v>103</v>
      </c>
      <c r="H19" s="5"/>
      <c r="I19" s="150">
        <v>0.7506944444444444</v>
      </c>
      <c r="J19" s="5"/>
      <c r="K19" s="12"/>
      <c r="L19" s="29">
        <v>9.0</v>
      </c>
      <c r="M19" s="29">
        <v>30.0</v>
      </c>
      <c r="N19" s="29"/>
      <c r="O19" s="37"/>
      <c r="P19" s="35"/>
      <c r="Q19" s="13"/>
      <c r="R19" s="13"/>
    </row>
    <row r="20">
      <c r="A20" s="149">
        <v>13.0</v>
      </c>
      <c r="B20" s="200" t="s">
        <v>18</v>
      </c>
      <c r="C20" s="150">
        <v>0.3527777777777778</v>
      </c>
      <c r="D20" s="5"/>
      <c r="E20" s="150">
        <v>0.5423611111111111</v>
      </c>
      <c r="F20" s="5"/>
      <c r="G20" s="150">
        <v>0.5840277777777778</v>
      </c>
      <c r="H20" s="5"/>
      <c r="I20" s="150">
        <v>0.7465277777777778</v>
      </c>
      <c r="J20" s="5"/>
      <c r="K20" s="12"/>
      <c r="L20" s="29">
        <v>0.0</v>
      </c>
      <c r="M20" s="29">
        <v>30.0</v>
      </c>
      <c r="N20" s="29"/>
      <c r="O20" s="29"/>
      <c r="P20" s="35"/>
      <c r="Q20" s="13"/>
      <c r="R20" s="13"/>
    </row>
    <row r="21">
      <c r="A21" s="149">
        <v>14.0</v>
      </c>
      <c r="B21" s="201" t="s">
        <v>26</v>
      </c>
      <c r="C21" s="147" t="s">
        <v>68</v>
      </c>
      <c r="D21" s="15"/>
      <c r="E21" s="15"/>
      <c r="F21" s="15"/>
      <c r="G21" s="15"/>
      <c r="H21" s="15"/>
      <c r="I21" s="15"/>
      <c r="J21" s="5"/>
      <c r="K21" s="46"/>
      <c r="L21" s="37">
        <v>-0.3333333333333333</v>
      </c>
      <c r="M21" s="29"/>
      <c r="N21" s="13"/>
      <c r="O21" s="13"/>
      <c r="P21" s="13"/>
      <c r="Q21" s="13"/>
      <c r="R21" s="13"/>
    </row>
    <row r="22">
      <c r="A22" s="149">
        <v>15.0</v>
      </c>
      <c r="B22" s="199" t="s">
        <v>201</v>
      </c>
      <c r="C22" s="150">
        <v>0.3541666666666667</v>
      </c>
      <c r="D22" s="5"/>
      <c r="E22" s="151">
        <v>0.5409722222222222</v>
      </c>
      <c r="F22" s="5"/>
      <c r="G22" s="151">
        <v>0.5819444444444445</v>
      </c>
      <c r="H22" s="5"/>
      <c r="I22" s="150">
        <v>0.7395833333333334</v>
      </c>
      <c r="J22" s="5"/>
      <c r="K22" s="12"/>
      <c r="L22" s="29">
        <v>-14.0</v>
      </c>
      <c r="M22" s="29">
        <v>30.0</v>
      </c>
      <c r="N22" s="29"/>
      <c r="O22" s="31"/>
      <c r="P22" s="35"/>
      <c r="Q22" s="13"/>
      <c r="R22" s="13"/>
    </row>
    <row r="23">
      <c r="A23" s="149">
        <v>16.0</v>
      </c>
      <c r="B23" s="200" t="s">
        <v>21</v>
      </c>
      <c r="C23" s="150">
        <v>0.3284722222222222</v>
      </c>
      <c r="D23" s="5"/>
      <c r="E23" s="147" t="s">
        <v>103</v>
      </c>
      <c r="F23" s="5"/>
      <c r="G23" s="147" t="s">
        <v>103</v>
      </c>
      <c r="H23" s="5"/>
      <c r="I23" s="150">
        <v>0.4979166666666667</v>
      </c>
      <c r="J23" s="5"/>
      <c r="K23" s="12"/>
      <c r="L23" s="29">
        <v>0.0</v>
      </c>
      <c r="M23" s="29"/>
      <c r="N23" s="13"/>
      <c r="O23" s="13"/>
      <c r="P23" s="13"/>
      <c r="Q23" s="13"/>
      <c r="R23" s="13"/>
    </row>
    <row r="24">
      <c r="A24" s="149">
        <v>17.0</v>
      </c>
      <c r="B24" s="201" t="s">
        <v>23</v>
      </c>
      <c r="C24" s="147" t="s">
        <v>103</v>
      </c>
      <c r="D24" s="5"/>
      <c r="E24" s="147" t="s">
        <v>103</v>
      </c>
      <c r="F24" s="5"/>
      <c r="G24" s="147" t="s">
        <v>103</v>
      </c>
      <c r="H24" s="5"/>
      <c r="I24" s="147" t="s">
        <v>103</v>
      </c>
      <c r="J24" s="5"/>
      <c r="K24" s="12"/>
      <c r="L24" s="29"/>
      <c r="M24" s="29"/>
      <c r="N24" s="29"/>
      <c r="O24" s="13"/>
      <c r="P24" s="35"/>
      <c r="Q24" s="29"/>
      <c r="R24" s="29"/>
    </row>
    <row r="25">
      <c r="A25" s="149">
        <v>18.0</v>
      </c>
      <c r="B25" s="199" t="s">
        <v>202</v>
      </c>
      <c r="C25" s="150">
        <v>0.3506944444444444</v>
      </c>
      <c r="D25" s="5"/>
      <c r="E25" s="150">
        <v>0.5402777777777777</v>
      </c>
      <c r="F25" s="5"/>
      <c r="G25" s="150">
        <v>0.5819444444444445</v>
      </c>
      <c r="H25" s="5"/>
      <c r="I25" s="150">
        <v>0.7513888888888889</v>
      </c>
      <c r="J25" s="5"/>
      <c r="K25" s="38"/>
      <c r="L25" s="29">
        <v>7.0</v>
      </c>
      <c r="M25" s="29">
        <v>30.0</v>
      </c>
      <c r="N25" s="29"/>
      <c r="O25" s="37"/>
      <c r="P25" s="35"/>
      <c r="Q25" s="13"/>
      <c r="R25" s="13"/>
    </row>
    <row r="26">
      <c r="A26" s="149">
        <v>19.0</v>
      </c>
      <c r="B26" s="200" t="s">
        <v>58</v>
      </c>
      <c r="C26" s="150">
        <v>0.3506944444444444</v>
      </c>
      <c r="D26" s="5"/>
      <c r="E26" s="150">
        <v>0.5395833333333333</v>
      </c>
      <c r="F26" s="5"/>
      <c r="G26" s="150">
        <v>0.5847222222222223</v>
      </c>
      <c r="H26" s="5"/>
      <c r="I26" s="150">
        <v>0.7402777777777778</v>
      </c>
      <c r="J26" s="5"/>
      <c r="K26" s="40"/>
      <c r="L26" s="29">
        <v>-14.0</v>
      </c>
      <c r="M26" s="29">
        <v>30.0</v>
      </c>
      <c r="N26" s="29"/>
      <c r="O26" s="37"/>
      <c r="P26" s="43"/>
      <c r="Q26" s="13"/>
      <c r="R26" s="13"/>
    </row>
    <row r="27">
      <c r="A27" s="149">
        <v>20.0</v>
      </c>
      <c r="B27" s="200" t="s">
        <v>18</v>
      </c>
      <c r="C27" s="150">
        <v>0.35</v>
      </c>
      <c r="D27" s="5"/>
      <c r="E27" s="150">
        <v>0.5409722222222222</v>
      </c>
      <c r="F27" s="5"/>
      <c r="G27" s="150">
        <v>0.5819444444444445</v>
      </c>
      <c r="H27" s="5"/>
      <c r="I27" s="150">
        <v>0.7430555555555556</v>
      </c>
      <c r="J27" s="5"/>
      <c r="K27" s="12"/>
      <c r="L27" s="29">
        <v>0.0</v>
      </c>
      <c r="M27" s="29">
        <v>30.0</v>
      </c>
      <c r="N27" s="13"/>
      <c r="O27" s="13"/>
      <c r="P27" s="13"/>
      <c r="Q27" s="13"/>
      <c r="R27" s="29"/>
    </row>
    <row r="28">
      <c r="A28" s="149">
        <v>21.0</v>
      </c>
      <c r="B28" s="199" t="s">
        <v>19</v>
      </c>
      <c r="C28" s="152">
        <v>0.3458333333333333</v>
      </c>
      <c r="D28" s="5"/>
      <c r="E28" s="152">
        <v>0.5465277777777777</v>
      </c>
      <c r="F28" s="5"/>
      <c r="G28" s="152">
        <v>0.5819444444444445</v>
      </c>
      <c r="H28" s="5"/>
      <c r="I28" s="152">
        <v>0.7402777777777778</v>
      </c>
      <c r="J28" s="5"/>
      <c r="K28" s="12"/>
      <c r="L28" s="29">
        <v>7.0</v>
      </c>
      <c r="M28" s="29">
        <v>30.0</v>
      </c>
      <c r="N28" s="31"/>
      <c r="O28" s="191"/>
      <c r="P28" s="97"/>
      <c r="Q28" s="13"/>
      <c r="R28" s="13"/>
      <c r="T28" s="41"/>
    </row>
    <row r="29">
      <c r="A29" s="149">
        <v>22.0</v>
      </c>
      <c r="B29" s="200" t="s">
        <v>20</v>
      </c>
      <c r="C29" s="150">
        <v>0.34791666666666665</v>
      </c>
      <c r="D29" s="5"/>
      <c r="E29" s="150">
        <v>0.5333333333333333</v>
      </c>
      <c r="F29" s="5"/>
      <c r="G29" s="150">
        <v>0.5888888888888889</v>
      </c>
      <c r="H29" s="5"/>
      <c r="I29" s="150">
        <v>0.7395833333333334</v>
      </c>
      <c r="J29" s="5"/>
      <c r="K29" s="12"/>
      <c r="L29" s="29">
        <v>-26.0</v>
      </c>
      <c r="M29" s="29">
        <v>30.0</v>
      </c>
      <c r="N29" s="13"/>
      <c r="O29" s="13"/>
      <c r="P29" s="13"/>
      <c r="Q29" s="13"/>
      <c r="R29" s="13"/>
    </row>
    <row r="30">
      <c r="A30" s="149">
        <v>23.0</v>
      </c>
      <c r="B30" s="200" t="s">
        <v>21</v>
      </c>
      <c r="C30" s="151">
        <v>0.3284722222222222</v>
      </c>
      <c r="D30" s="5"/>
      <c r="E30" s="181" t="s">
        <v>103</v>
      </c>
      <c r="F30" s="5"/>
      <c r="G30" s="181" t="s">
        <v>103</v>
      </c>
      <c r="H30" s="5"/>
      <c r="I30" s="151">
        <v>0.49444444444444446</v>
      </c>
      <c r="J30" s="5"/>
      <c r="K30" s="12"/>
      <c r="L30" s="29">
        <v>0.0</v>
      </c>
      <c r="M30" s="29"/>
      <c r="N30" s="29"/>
      <c r="O30" s="37"/>
      <c r="P30" s="35"/>
      <c r="Q30" s="13"/>
      <c r="R30" s="13"/>
    </row>
    <row r="31">
      <c r="A31" s="149">
        <v>24.0</v>
      </c>
      <c r="B31" s="199" t="s">
        <v>23</v>
      </c>
      <c r="C31" s="147" t="s">
        <v>103</v>
      </c>
      <c r="D31" s="5"/>
      <c r="E31" s="147" t="s">
        <v>103</v>
      </c>
      <c r="F31" s="5"/>
      <c r="G31" s="147" t="s">
        <v>103</v>
      </c>
      <c r="H31" s="5"/>
      <c r="I31" s="147" t="s">
        <v>103</v>
      </c>
      <c r="J31" s="5"/>
      <c r="K31" s="12"/>
      <c r="L31" s="29"/>
      <c r="M31" s="29"/>
      <c r="N31" s="29"/>
      <c r="O31" s="31"/>
      <c r="P31" s="35"/>
      <c r="Q31" s="13"/>
      <c r="R31" s="13"/>
    </row>
    <row r="32">
      <c r="A32" s="149">
        <v>25.0</v>
      </c>
      <c r="B32" s="200" t="s">
        <v>202</v>
      </c>
      <c r="C32" s="150">
        <v>0.34930555555555554</v>
      </c>
      <c r="D32" s="5"/>
      <c r="E32" s="150">
        <v>0.5409722222222222</v>
      </c>
      <c r="F32" s="5"/>
      <c r="G32" s="150">
        <v>0.5819444444444445</v>
      </c>
      <c r="H32" s="5"/>
      <c r="I32" s="150">
        <v>0.74375</v>
      </c>
      <c r="J32" s="5"/>
      <c r="K32" s="12"/>
      <c r="L32" s="29">
        <v>0.0</v>
      </c>
      <c r="M32" s="29">
        <v>30.0</v>
      </c>
      <c r="N32" s="29"/>
      <c r="O32" s="13"/>
      <c r="P32" s="35"/>
      <c r="Q32" s="29"/>
      <c r="R32" s="29"/>
    </row>
    <row r="33">
      <c r="A33" s="149">
        <v>26.0</v>
      </c>
      <c r="B33" s="200" t="s">
        <v>58</v>
      </c>
      <c r="C33" s="150">
        <v>0.34791666666666665</v>
      </c>
      <c r="D33" s="5"/>
      <c r="E33" s="150">
        <v>0.5409722222222222</v>
      </c>
      <c r="F33" s="5"/>
      <c r="G33" s="150">
        <v>0.5833333333333334</v>
      </c>
      <c r="H33" s="5"/>
      <c r="I33" s="150">
        <v>0.7444444444444445</v>
      </c>
      <c r="J33" s="5"/>
      <c r="K33" s="46"/>
      <c r="L33" s="29">
        <v>0.0</v>
      </c>
      <c r="M33" s="29">
        <v>30.0</v>
      </c>
      <c r="N33" s="29"/>
      <c r="O33" s="37"/>
      <c r="P33" s="35"/>
      <c r="Q33" s="13"/>
      <c r="R33" s="13"/>
    </row>
    <row r="34">
      <c r="A34" s="149">
        <v>27.0</v>
      </c>
      <c r="B34" s="200" t="s">
        <v>18</v>
      </c>
      <c r="C34" s="150">
        <v>0.3625</v>
      </c>
      <c r="D34" s="5"/>
      <c r="E34" s="150">
        <v>0.5201388888888889</v>
      </c>
      <c r="F34" s="5"/>
      <c r="G34" s="147" t="s">
        <v>103</v>
      </c>
      <c r="H34" s="5"/>
      <c r="I34" s="147" t="s">
        <v>103</v>
      </c>
      <c r="J34" s="5"/>
      <c r="K34" s="46"/>
      <c r="L34" s="37">
        <v>-0.21736111111111112</v>
      </c>
      <c r="M34" s="29"/>
      <c r="N34" s="13"/>
      <c r="O34" s="13"/>
      <c r="P34" s="13"/>
      <c r="Q34" s="13"/>
      <c r="R34" s="13"/>
    </row>
    <row r="35">
      <c r="A35" s="149">
        <v>28.0</v>
      </c>
      <c r="B35" s="199" t="s">
        <v>19</v>
      </c>
      <c r="C35" s="151">
        <v>0.34791666666666665</v>
      </c>
      <c r="D35" s="5"/>
      <c r="E35" s="151">
        <v>0.5493055555555556</v>
      </c>
      <c r="F35" s="5"/>
      <c r="G35" s="151">
        <v>0.5909722222222222</v>
      </c>
      <c r="H35" s="5"/>
      <c r="I35" s="151">
        <v>0.7409722222222223</v>
      </c>
      <c r="J35" s="5"/>
      <c r="K35" s="46"/>
      <c r="L35" s="29">
        <v>0.0</v>
      </c>
      <c r="M35" s="29">
        <v>30.0</v>
      </c>
      <c r="N35" s="29"/>
      <c r="O35" s="37"/>
      <c r="P35" s="35"/>
      <c r="Q35" s="13"/>
      <c r="R35" s="43"/>
      <c r="S35" s="101"/>
    </row>
    <row r="36">
      <c r="A36" s="149">
        <v>29.0</v>
      </c>
      <c r="B36" s="200" t="s">
        <v>20</v>
      </c>
      <c r="C36" s="151">
        <v>0.35138888888888886</v>
      </c>
      <c r="D36" s="5"/>
      <c r="E36" s="151">
        <v>0.5409722222222222</v>
      </c>
      <c r="F36" s="5"/>
      <c r="G36" s="151">
        <v>0.58125</v>
      </c>
      <c r="H36" s="5"/>
      <c r="I36" s="151">
        <v>0.7395833333333334</v>
      </c>
      <c r="J36" s="5"/>
      <c r="K36" s="12"/>
      <c r="L36" s="29">
        <v>-9.0</v>
      </c>
      <c r="M36" s="29">
        <v>30.0</v>
      </c>
      <c r="N36" s="29"/>
      <c r="O36" s="35"/>
      <c r="P36" s="13"/>
      <c r="Q36" s="13"/>
      <c r="R36" s="13"/>
    </row>
    <row r="37">
      <c r="A37" s="163">
        <v>30.0</v>
      </c>
      <c r="B37" s="200" t="s">
        <v>21</v>
      </c>
      <c r="C37" s="151">
        <v>0.33958333333333335</v>
      </c>
      <c r="D37" s="5"/>
      <c r="E37" s="181" t="s">
        <v>103</v>
      </c>
      <c r="F37" s="5"/>
      <c r="G37" s="181" t="s">
        <v>103</v>
      </c>
      <c r="H37" s="5"/>
      <c r="I37" s="151">
        <v>0.49375</v>
      </c>
      <c r="J37" s="5"/>
      <c r="K37" s="12"/>
      <c r="L37" s="29">
        <v>-18.0</v>
      </c>
      <c r="M37" s="29"/>
      <c r="N37" s="29"/>
      <c r="O37" s="37"/>
      <c r="P37" s="35"/>
      <c r="Q37" s="37"/>
      <c r="R37" s="35"/>
      <c r="S37" s="41"/>
    </row>
    <row r="38">
      <c r="A38" s="163">
        <v>31.0</v>
      </c>
      <c r="B38" s="199" t="s">
        <v>23</v>
      </c>
      <c r="C38" s="181" t="s">
        <v>103</v>
      </c>
      <c r="D38" s="5"/>
      <c r="E38" s="181" t="s">
        <v>103</v>
      </c>
      <c r="F38" s="5"/>
      <c r="G38" s="181" t="s">
        <v>103</v>
      </c>
      <c r="H38" s="5"/>
      <c r="I38" s="181" t="s">
        <v>103</v>
      </c>
      <c r="J38" s="5"/>
      <c r="K38" s="12"/>
      <c r="L38" s="29"/>
      <c r="M38" s="29"/>
      <c r="N38" s="29"/>
      <c r="O38" s="13"/>
      <c r="P38" s="35"/>
      <c r="Q38" s="37"/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93" t="s">
        <v>206</v>
      </c>
      <c r="M39" s="193" t="s">
        <v>207</v>
      </c>
      <c r="N39" s="193" t="s">
        <v>208</v>
      </c>
      <c r="O39" s="13"/>
      <c r="P39" s="13"/>
      <c r="Q39" s="13"/>
      <c r="R39" s="13"/>
    </row>
    <row r="40">
      <c r="A40" s="107" t="s">
        <v>209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  <c r="L40" s="13"/>
      <c r="M40" s="13"/>
      <c r="N40" s="13"/>
      <c r="O40" s="13"/>
      <c r="P40" s="13"/>
      <c r="Q40" s="13"/>
      <c r="R40" s="13"/>
    </row>
    <row r="41">
      <c r="A41" s="107" t="s">
        <v>210</v>
      </c>
      <c r="B41" s="108"/>
      <c r="C41" s="108"/>
      <c r="D41" s="108"/>
      <c r="E41" s="15"/>
      <c r="F41" s="108"/>
      <c r="G41" s="15"/>
      <c r="H41" s="108"/>
      <c r="I41" s="108"/>
      <c r="J41" s="109"/>
      <c r="K41" s="6"/>
      <c r="L41" s="193" t="s">
        <v>211</v>
      </c>
      <c r="M41" s="13"/>
      <c r="N41" s="35"/>
      <c r="O41" s="13"/>
      <c r="P41" s="13"/>
    </row>
    <row r="42">
      <c r="A42" s="107" t="s">
        <v>212</v>
      </c>
      <c r="B42" s="108"/>
      <c r="C42" s="108"/>
      <c r="D42" s="108"/>
      <c r="E42" s="15"/>
      <c r="F42" s="108"/>
      <c r="G42" s="15"/>
      <c r="H42" s="108"/>
      <c r="I42" s="108"/>
      <c r="J42" s="109"/>
      <c r="K42" s="12"/>
      <c r="L42" s="13"/>
      <c r="M42" s="13"/>
      <c r="N42" s="35"/>
      <c r="O42" s="13"/>
      <c r="P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K43" s="6"/>
      <c r="L43" s="13"/>
      <c r="M43" s="13"/>
      <c r="N43" s="13"/>
      <c r="O43" s="13"/>
      <c r="P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13"/>
      <c r="O44" s="13"/>
      <c r="P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O45" s="41"/>
    </row>
    <row r="49">
      <c r="C49" s="41"/>
    </row>
  </sheetData>
  <mergeCells count="14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C26:D26"/>
    <mergeCell ref="E26:F26"/>
    <mergeCell ref="C27:D27"/>
    <mergeCell ref="E27:F27"/>
    <mergeCell ref="G27:H27"/>
    <mergeCell ref="I27:J27"/>
    <mergeCell ref="E28:F28"/>
    <mergeCell ref="G28:H28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2:E42"/>
    <mergeCell ref="D44:E44"/>
    <mergeCell ref="F44:G44"/>
    <mergeCell ref="D45:E45"/>
    <mergeCell ref="F45:G45"/>
    <mergeCell ref="A39:J39"/>
    <mergeCell ref="D40:E40"/>
    <mergeCell ref="F40:G40"/>
    <mergeCell ref="D41:E41"/>
    <mergeCell ref="F41:G41"/>
    <mergeCell ref="F42:G42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G22:H22"/>
    <mergeCell ref="I22:J22"/>
    <mergeCell ref="C20:D20"/>
    <mergeCell ref="E20:F20"/>
    <mergeCell ref="G20:H20"/>
    <mergeCell ref="I20:J20"/>
    <mergeCell ref="C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</row>
    <row r="6">
      <c r="A6" s="66" t="s">
        <v>10</v>
      </c>
      <c r="B6" s="123" t="s">
        <v>199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99" t="s">
        <v>20</v>
      </c>
      <c r="C8" s="151">
        <v>0.3506944444444444</v>
      </c>
      <c r="D8" s="5"/>
      <c r="E8" s="151">
        <v>0.5020833333333333</v>
      </c>
      <c r="F8" s="5"/>
      <c r="G8" s="151">
        <v>0.54375</v>
      </c>
      <c r="H8" s="5"/>
      <c r="I8" s="151">
        <v>0.75</v>
      </c>
      <c r="J8" s="5"/>
      <c r="K8" s="6"/>
      <c r="L8" s="29">
        <v>0.0</v>
      </c>
      <c r="M8" s="29">
        <v>30.0</v>
      </c>
      <c r="N8" s="13"/>
      <c r="O8" s="13"/>
      <c r="P8" s="13"/>
      <c r="Q8" s="13"/>
      <c r="R8" s="13"/>
      <c r="S8" s="13"/>
    </row>
    <row r="9">
      <c r="A9" s="149">
        <v>2.0</v>
      </c>
      <c r="B9" s="200" t="s">
        <v>200</v>
      </c>
      <c r="C9" s="151">
        <v>0.36736111111111114</v>
      </c>
      <c r="D9" s="5"/>
      <c r="E9" s="181" t="s">
        <v>103</v>
      </c>
      <c r="F9" s="5"/>
      <c r="G9" s="181" t="s">
        <v>103</v>
      </c>
      <c r="H9" s="5"/>
      <c r="I9" s="151">
        <v>0.49722222222222223</v>
      </c>
      <c r="J9" s="5"/>
      <c r="K9" s="6"/>
      <c r="L9" s="29">
        <v>-53.0</v>
      </c>
      <c r="M9" s="29"/>
      <c r="N9" s="13"/>
      <c r="O9" s="13"/>
      <c r="P9" s="13"/>
      <c r="Q9" s="13"/>
      <c r="R9" s="13"/>
      <c r="S9" s="13"/>
    </row>
    <row r="10">
      <c r="A10" s="149">
        <v>3.0</v>
      </c>
      <c r="B10" s="201" t="s">
        <v>29</v>
      </c>
      <c r="C10" s="147" t="s">
        <v>103</v>
      </c>
      <c r="D10" s="5"/>
      <c r="E10" s="147" t="s">
        <v>103</v>
      </c>
      <c r="F10" s="5"/>
      <c r="G10" s="147" t="s">
        <v>103</v>
      </c>
      <c r="H10" s="5"/>
      <c r="I10" s="147" t="s">
        <v>103</v>
      </c>
      <c r="J10" s="5"/>
      <c r="K10" s="6"/>
      <c r="L10" s="29"/>
      <c r="M10" s="29"/>
      <c r="N10" s="13"/>
      <c r="O10" s="13"/>
      <c r="P10" s="13"/>
      <c r="Q10" s="13"/>
      <c r="R10" s="13"/>
      <c r="S10" s="13"/>
    </row>
    <row r="11">
      <c r="A11" s="149">
        <v>4.0</v>
      </c>
      <c r="B11" s="199" t="s">
        <v>24</v>
      </c>
      <c r="C11" s="150">
        <v>0.34930555555555554</v>
      </c>
      <c r="D11" s="5"/>
      <c r="E11" s="150">
        <v>0.5</v>
      </c>
      <c r="F11" s="5"/>
      <c r="G11" s="150">
        <v>0.5416666666666666</v>
      </c>
      <c r="H11" s="5"/>
      <c r="I11" s="150">
        <v>0.7083333333333334</v>
      </c>
      <c r="J11" s="5"/>
      <c r="K11" s="6"/>
      <c r="L11" s="29">
        <v>7.0</v>
      </c>
      <c r="M11" s="29">
        <v>-30.0</v>
      </c>
      <c r="N11" s="13"/>
      <c r="O11" s="13"/>
      <c r="P11" s="13"/>
      <c r="Q11" s="13"/>
      <c r="R11" s="13"/>
      <c r="S11" s="13"/>
    </row>
    <row r="12">
      <c r="A12" s="149">
        <v>5.0</v>
      </c>
      <c r="B12" s="201" t="s">
        <v>25</v>
      </c>
      <c r="C12" s="150">
        <v>0.35</v>
      </c>
      <c r="D12" s="5"/>
      <c r="E12" s="150">
        <v>0.5</v>
      </c>
      <c r="F12" s="5"/>
      <c r="G12" s="150">
        <v>0.5416666666666666</v>
      </c>
      <c r="H12" s="5"/>
      <c r="I12" s="150">
        <v>0.7083333333333334</v>
      </c>
      <c r="J12" s="5"/>
      <c r="K12" s="6"/>
      <c r="L12" s="29">
        <v>6.0</v>
      </c>
      <c r="M12" s="29">
        <v>-30.0</v>
      </c>
      <c r="N12" s="13"/>
      <c r="O12" s="13"/>
      <c r="P12" s="13"/>
      <c r="Q12" s="13"/>
      <c r="R12" s="13"/>
      <c r="S12" s="13"/>
    </row>
    <row r="13">
      <c r="A13" s="149">
        <v>6.0</v>
      </c>
      <c r="B13" s="201" t="s">
        <v>18</v>
      </c>
      <c r="C13" s="150">
        <v>0.35</v>
      </c>
      <c r="D13" s="5"/>
      <c r="E13" s="150">
        <v>0.5020833333333333</v>
      </c>
      <c r="F13" s="5"/>
      <c r="G13" s="150">
        <v>0.54375</v>
      </c>
      <c r="H13" s="5"/>
      <c r="I13" s="150">
        <v>0.7083333333333334</v>
      </c>
      <c r="J13" s="5"/>
      <c r="K13" s="6"/>
      <c r="L13" s="29">
        <v>6.0</v>
      </c>
      <c r="M13" s="29">
        <v>-30.0</v>
      </c>
      <c r="N13" s="29"/>
      <c r="O13" s="37"/>
      <c r="P13" s="35"/>
      <c r="Q13" s="13"/>
      <c r="R13" s="13"/>
      <c r="S13" s="29"/>
    </row>
    <row r="14">
      <c r="A14" s="149">
        <v>7.0</v>
      </c>
      <c r="B14" s="201" t="s">
        <v>26</v>
      </c>
      <c r="C14" s="150">
        <v>0.34930555555555554</v>
      </c>
      <c r="D14" s="5"/>
      <c r="E14" s="150">
        <v>0.5006944444444444</v>
      </c>
      <c r="F14" s="5"/>
      <c r="G14" s="150">
        <v>0.5423611111111111</v>
      </c>
      <c r="H14" s="5"/>
      <c r="I14" s="150">
        <v>0.7083333333333334</v>
      </c>
      <c r="J14" s="5"/>
      <c r="K14" s="6"/>
      <c r="L14" s="29">
        <v>7.0</v>
      </c>
      <c r="M14" s="29">
        <v>-30.0</v>
      </c>
      <c r="N14" s="13"/>
      <c r="O14" s="13"/>
      <c r="P14" s="13"/>
      <c r="Q14" s="13"/>
      <c r="R14" s="13"/>
      <c r="S14" s="13"/>
    </row>
    <row r="15">
      <c r="A15" s="149">
        <v>8.0</v>
      </c>
      <c r="B15" s="199" t="s">
        <v>20</v>
      </c>
      <c r="C15" s="150">
        <v>0.3486111111111111</v>
      </c>
      <c r="D15" s="5"/>
      <c r="E15" s="151">
        <v>0.5</v>
      </c>
      <c r="F15" s="5"/>
      <c r="G15" s="151">
        <v>0.5416666666666666</v>
      </c>
      <c r="H15" s="5"/>
      <c r="I15" s="151">
        <v>0.7083333333333334</v>
      </c>
      <c r="J15" s="5"/>
      <c r="K15" s="6"/>
      <c r="L15" s="29">
        <v>8.0</v>
      </c>
      <c r="M15" s="29">
        <v>-30.0</v>
      </c>
      <c r="N15" s="93" t="s">
        <v>27</v>
      </c>
      <c r="O15" s="189">
        <v>-0.14097222222222222</v>
      </c>
      <c r="P15" s="94">
        <v>0.044444444444444446</v>
      </c>
      <c r="Q15" s="13"/>
      <c r="R15" s="13"/>
      <c r="S15" s="29" t="s">
        <v>154</v>
      </c>
    </row>
    <row r="16">
      <c r="A16" s="149">
        <v>9.0</v>
      </c>
      <c r="B16" s="200" t="s">
        <v>21</v>
      </c>
      <c r="C16" s="151">
        <v>0.32916666666666666</v>
      </c>
      <c r="D16" s="5"/>
      <c r="E16" s="181" t="s">
        <v>103</v>
      </c>
      <c r="F16" s="5"/>
      <c r="G16" s="181" t="s">
        <v>103</v>
      </c>
      <c r="H16" s="5"/>
      <c r="I16" s="151">
        <v>0.5006944444444444</v>
      </c>
      <c r="J16" s="5"/>
      <c r="K16" s="6"/>
      <c r="L16" s="29">
        <v>7.0</v>
      </c>
      <c r="M16" s="29"/>
      <c r="N16" s="13"/>
      <c r="O16" s="13"/>
      <c r="P16" s="13"/>
      <c r="Q16" s="13"/>
      <c r="R16" s="13"/>
      <c r="S16" s="13"/>
    </row>
    <row r="17">
      <c r="A17" s="149">
        <v>10.0</v>
      </c>
      <c r="B17" s="201" t="s">
        <v>23</v>
      </c>
      <c r="C17" s="147" t="s">
        <v>103</v>
      </c>
      <c r="D17" s="5"/>
      <c r="E17" s="147" t="s">
        <v>103</v>
      </c>
      <c r="F17" s="5"/>
      <c r="G17" s="147" t="s">
        <v>103</v>
      </c>
      <c r="H17" s="5"/>
      <c r="I17" s="147" t="s">
        <v>103</v>
      </c>
      <c r="J17" s="5"/>
      <c r="K17" s="6"/>
      <c r="L17" s="29"/>
      <c r="M17" s="29"/>
      <c r="N17" s="13"/>
      <c r="O17" s="13"/>
      <c r="P17" s="13"/>
      <c r="Q17" s="13"/>
      <c r="R17" s="13"/>
      <c r="S17" s="13"/>
    </row>
    <row r="18">
      <c r="A18" s="149">
        <v>11.0</v>
      </c>
      <c r="B18" s="199" t="s">
        <v>24</v>
      </c>
      <c r="C18" s="150">
        <v>0.35</v>
      </c>
      <c r="D18" s="5"/>
      <c r="E18" s="150">
        <v>0.5</v>
      </c>
      <c r="F18" s="5"/>
      <c r="G18" s="150">
        <v>0.5416666666666666</v>
      </c>
      <c r="H18" s="5"/>
      <c r="I18" s="150">
        <v>0.7104166666666667</v>
      </c>
      <c r="J18" s="5"/>
      <c r="K18" s="6"/>
      <c r="L18" s="29">
        <v>6.0</v>
      </c>
      <c r="M18" s="29">
        <v>-27.0</v>
      </c>
      <c r="N18" s="13"/>
      <c r="O18" s="35"/>
      <c r="P18" s="13"/>
      <c r="Q18" s="13"/>
      <c r="R18" s="13"/>
      <c r="S18" s="13"/>
    </row>
    <row r="19">
      <c r="A19" s="149">
        <v>12.0</v>
      </c>
      <c r="B19" s="200" t="s">
        <v>25</v>
      </c>
      <c r="C19" s="150">
        <v>0.3486111111111111</v>
      </c>
      <c r="D19" s="5"/>
      <c r="E19" s="150">
        <v>0.5020833333333333</v>
      </c>
      <c r="F19" s="5"/>
      <c r="G19" s="150">
        <v>0.5423611111111111</v>
      </c>
      <c r="H19" s="5"/>
      <c r="I19" s="150">
        <v>0.7104166666666667</v>
      </c>
      <c r="J19" s="5"/>
      <c r="K19" s="6"/>
      <c r="L19" s="29">
        <v>10.0</v>
      </c>
      <c r="M19" s="29">
        <v>-27.0</v>
      </c>
      <c r="N19" s="29"/>
      <c r="O19" s="37"/>
      <c r="P19" s="35"/>
      <c r="Q19" s="13"/>
      <c r="R19" s="13"/>
      <c r="S19" s="13"/>
    </row>
    <row r="20">
      <c r="A20" s="149">
        <v>13.0</v>
      </c>
      <c r="B20" s="200" t="s">
        <v>18</v>
      </c>
      <c r="C20" s="150">
        <v>0.34791666666666665</v>
      </c>
      <c r="D20" s="5"/>
      <c r="E20" s="150">
        <v>0.5048611111111111</v>
      </c>
      <c r="F20" s="5"/>
      <c r="G20" s="150">
        <v>0.5458333333333333</v>
      </c>
      <c r="H20" s="5"/>
      <c r="I20" s="150">
        <v>0.7083333333333334</v>
      </c>
      <c r="J20" s="5"/>
      <c r="K20" s="6"/>
      <c r="L20" s="29">
        <v>10.0</v>
      </c>
      <c r="M20" s="29">
        <v>-30.0</v>
      </c>
      <c r="N20" s="13"/>
      <c r="O20" s="13"/>
      <c r="P20" s="13"/>
      <c r="Q20" s="13"/>
      <c r="R20" s="13"/>
      <c r="S20" s="13"/>
    </row>
    <row r="21">
      <c r="A21" s="149">
        <v>14.0</v>
      </c>
      <c r="B21" s="201" t="s">
        <v>26</v>
      </c>
      <c r="C21" s="150">
        <v>0.35</v>
      </c>
      <c r="D21" s="5"/>
      <c r="E21" s="150">
        <v>0.5020833333333333</v>
      </c>
      <c r="F21" s="5"/>
      <c r="G21" s="150">
        <v>0.54375</v>
      </c>
      <c r="H21" s="5"/>
      <c r="I21" s="150">
        <v>0.7541666666666667</v>
      </c>
      <c r="J21" s="5"/>
      <c r="K21" s="6"/>
      <c r="L21" s="96">
        <v>12.0</v>
      </c>
      <c r="M21" s="29">
        <v>30.0</v>
      </c>
      <c r="N21" s="93" t="s">
        <v>27</v>
      </c>
      <c r="O21" s="189">
        <v>-0.19930555555555557</v>
      </c>
      <c r="P21" s="94">
        <v>0.09166666666666666</v>
      </c>
      <c r="Q21" s="13"/>
      <c r="R21" s="13"/>
      <c r="S21" s="29" t="s">
        <v>154</v>
      </c>
    </row>
    <row r="22">
      <c r="A22" s="149">
        <v>15.0</v>
      </c>
      <c r="B22" s="199" t="s">
        <v>201</v>
      </c>
      <c r="C22" s="147" t="s">
        <v>103</v>
      </c>
      <c r="D22" s="5"/>
      <c r="E22" s="151">
        <v>0.5034722222222222</v>
      </c>
      <c r="F22" s="5"/>
      <c r="G22" s="151">
        <v>0.5451388888888888</v>
      </c>
      <c r="H22" s="5"/>
      <c r="I22" s="150">
        <v>0.7083333333333334</v>
      </c>
      <c r="J22" s="5"/>
      <c r="K22" s="6"/>
      <c r="L22" s="29">
        <v>0.0</v>
      </c>
      <c r="M22" s="29">
        <v>-30.0</v>
      </c>
      <c r="N22" s="29"/>
      <c r="O22" s="31"/>
      <c r="P22" s="35"/>
      <c r="Q22" s="13"/>
      <c r="R22" s="13"/>
      <c r="S22" s="29"/>
    </row>
    <row r="23">
      <c r="A23" s="149">
        <v>16.0</v>
      </c>
      <c r="B23" s="200" t="s">
        <v>21</v>
      </c>
      <c r="C23" s="152">
        <v>0.32916666666666666</v>
      </c>
      <c r="D23" s="5"/>
      <c r="E23" s="154" t="s">
        <v>103</v>
      </c>
      <c r="F23" s="5"/>
      <c r="G23" s="154" t="s">
        <v>103</v>
      </c>
      <c r="H23" s="5"/>
      <c r="I23" s="152">
        <v>0.5</v>
      </c>
      <c r="J23" s="5"/>
      <c r="K23" s="6"/>
      <c r="L23" s="29">
        <v>6.0</v>
      </c>
      <c r="M23" s="29"/>
      <c r="N23" s="13"/>
      <c r="O23" s="13"/>
      <c r="P23" s="13"/>
      <c r="Q23" s="13"/>
      <c r="R23" s="13"/>
      <c r="S23" s="13"/>
    </row>
    <row r="24">
      <c r="A24" s="149">
        <v>17.0</v>
      </c>
      <c r="B24" s="201" t="s">
        <v>23</v>
      </c>
      <c r="C24" s="147" t="s">
        <v>103</v>
      </c>
      <c r="D24" s="5"/>
      <c r="E24" s="147" t="s">
        <v>103</v>
      </c>
      <c r="F24" s="5"/>
      <c r="G24" s="147" t="s">
        <v>103</v>
      </c>
      <c r="H24" s="5"/>
      <c r="I24" s="147" t="s">
        <v>103</v>
      </c>
      <c r="J24" s="5"/>
      <c r="K24" s="6"/>
      <c r="L24" s="29"/>
      <c r="M24" s="29"/>
      <c r="N24" s="29"/>
      <c r="O24" s="37"/>
      <c r="P24" s="35"/>
      <c r="Q24" s="13"/>
      <c r="R24" s="13"/>
      <c r="S24" s="13"/>
    </row>
    <row r="25">
      <c r="A25" s="149">
        <v>18.0</v>
      </c>
      <c r="B25" s="199" t="s">
        <v>202</v>
      </c>
      <c r="C25" s="150">
        <v>0.3506944444444444</v>
      </c>
      <c r="D25" s="5"/>
      <c r="E25" s="150">
        <v>0.5</v>
      </c>
      <c r="F25" s="5"/>
      <c r="G25" s="150">
        <v>0.5416666666666666</v>
      </c>
      <c r="H25" s="5"/>
      <c r="I25" s="150">
        <v>0.7513888888888889</v>
      </c>
      <c r="J25" s="5"/>
      <c r="K25" s="6"/>
      <c r="L25" s="29">
        <v>7.0</v>
      </c>
      <c r="M25" s="29">
        <v>30.0</v>
      </c>
      <c r="N25" s="13"/>
      <c r="O25" s="13"/>
      <c r="P25" s="13"/>
      <c r="Q25" s="13"/>
      <c r="R25" s="13"/>
      <c r="S25" s="13"/>
    </row>
    <row r="26">
      <c r="A26" s="149">
        <v>19.0</v>
      </c>
      <c r="B26" s="200" t="s">
        <v>58</v>
      </c>
      <c r="C26" s="150">
        <v>0.3506944444444444</v>
      </c>
      <c r="D26" s="5"/>
      <c r="E26" s="150">
        <v>0.49930555555555556</v>
      </c>
      <c r="F26" s="5"/>
      <c r="G26" s="150">
        <v>0.5409722222222222</v>
      </c>
      <c r="H26" s="5"/>
      <c r="I26" s="150">
        <v>0.7430555555555556</v>
      </c>
      <c r="J26" s="5"/>
      <c r="K26" s="127"/>
      <c r="L26" s="29">
        <v>0.0</v>
      </c>
      <c r="M26" s="29">
        <v>20.0</v>
      </c>
      <c r="N26" s="93" t="s">
        <v>27</v>
      </c>
      <c r="O26" s="189">
        <v>-0.22013888888888888</v>
      </c>
      <c r="P26" s="94">
        <v>0.13541666666666666</v>
      </c>
      <c r="Q26" s="13"/>
      <c r="R26" s="13"/>
      <c r="S26" s="29" t="s">
        <v>154</v>
      </c>
    </row>
    <row r="27">
      <c r="A27" s="149">
        <v>20.0</v>
      </c>
      <c r="B27" s="200" t="s">
        <v>18</v>
      </c>
      <c r="C27" s="150">
        <v>0.34930555555555554</v>
      </c>
      <c r="D27" s="5"/>
      <c r="E27" s="150">
        <v>0.5006944444444444</v>
      </c>
      <c r="F27" s="5"/>
      <c r="G27" s="150">
        <v>0.5423611111111111</v>
      </c>
      <c r="H27" s="5"/>
      <c r="I27" s="150">
        <v>0.7465277777777778</v>
      </c>
      <c r="J27" s="5"/>
      <c r="K27" s="6"/>
      <c r="L27" s="29">
        <v>0.0</v>
      </c>
      <c r="M27" s="29">
        <v>30.0</v>
      </c>
      <c r="N27" s="13"/>
      <c r="O27" s="13"/>
      <c r="P27" s="13"/>
      <c r="Q27" s="13"/>
      <c r="R27" s="13"/>
      <c r="S27" s="13"/>
    </row>
    <row r="28">
      <c r="A28" s="149">
        <v>21.0</v>
      </c>
      <c r="B28" s="199" t="s">
        <v>19</v>
      </c>
      <c r="C28" s="150">
        <v>0.3784722222222222</v>
      </c>
      <c r="D28" s="5"/>
      <c r="E28" s="150">
        <v>0.5</v>
      </c>
      <c r="F28" s="5"/>
      <c r="G28" s="150">
        <v>0.5416666666666666</v>
      </c>
      <c r="H28" s="5"/>
      <c r="I28" s="150">
        <v>0.7444444444444445</v>
      </c>
      <c r="J28" s="5"/>
      <c r="K28" s="6"/>
      <c r="L28" s="29">
        <v>-13.0</v>
      </c>
      <c r="M28" s="39"/>
      <c r="N28" s="191"/>
      <c r="O28" s="31"/>
      <c r="P28" s="13"/>
      <c r="Q28" s="13"/>
      <c r="R28" s="13"/>
      <c r="S28" s="13"/>
    </row>
    <row r="29">
      <c r="A29" s="149">
        <v>22.0</v>
      </c>
      <c r="B29" s="200" t="s">
        <v>20</v>
      </c>
      <c r="C29" s="147" t="s">
        <v>67</v>
      </c>
      <c r="D29" s="15"/>
      <c r="E29" s="15"/>
      <c r="F29" s="15"/>
      <c r="G29" s="15"/>
      <c r="H29" s="15"/>
      <c r="I29" s="15"/>
      <c r="J29" s="5"/>
      <c r="K29" s="145"/>
      <c r="L29" s="29"/>
      <c r="M29" s="39"/>
      <c r="N29" s="13"/>
      <c r="O29" s="13"/>
      <c r="P29" s="13"/>
      <c r="Q29" s="13"/>
      <c r="R29" s="13"/>
      <c r="S29" s="13"/>
    </row>
    <row r="30">
      <c r="A30" s="149">
        <v>23.0</v>
      </c>
      <c r="B30" s="200" t="s">
        <v>21</v>
      </c>
      <c r="C30" s="151">
        <v>0.3347222222222222</v>
      </c>
      <c r="D30" s="5"/>
      <c r="E30" s="181" t="s">
        <v>103</v>
      </c>
      <c r="F30" s="5"/>
      <c r="G30" s="181" t="s">
        <v>103</v>
      </c>
      <c r="H30" s="5"/>
      <c r="I30" s="151">
        <v>0.49583333333333335</v>
      </c>
      <c r="J30" s="5"/>
      <c r="K30" s="6"/>
      <c r="L30" s="29">
        <v>-8.0</v>
      </c>
      <c r="M30" s="39"/>
      <c r="N30" s="93" t="s">
        <v>27</v>
      </c>
      <c r="O30" s="189">
        <v>-0.23472222222222222</v>
      </c>
      <c r="P30" s="94">
        <v>0.15625</v>
      </c>
      <c r="Q30" s="13"/>
      <c r="R30" s="13"/>
      <c r="S30" s="29" t="s">
        <v>154</v>
      </c>
    </row>
    <row r="31">
      <c r="A31" s="149">
        <v>24.0</v>
      </c>
      <c r="B31" s="199" t="s">
        <v>23</v>
      </c>
      <c r="C31" s="181" t="s">
        <v>103</v>
      </c>
      <c r="D31" s="5"/>
      <c r="E31" s="181" t="s">
        <v>103</v>
      </c>
      <c r="F31" s="5"/>
      <c r="G31" s="181" t="s">
        <v>103</v>
      </c>
      <c r="H31" s="5"/>
      <c r="I31" s="181" t="s">
        <v>103</v>
      </c>
      <c r="J31" s="5"/>
      <c r="K31" s="6"/>
      <c r="L31" s="29"/>
      <c r="M31" s="39"/>
      <c r="N31" s="13"/>
      <c r="O31" s="13"/>
      <c r="P31" s="13"/>
      <c r="Q31" s="13"/>
      <c r="R31" s="13"/>
      <c r="S31" s="13"/>
    </row>
    <row r="32">
      <c r="A32" s="149">
        <v>25.0</v>
      </c>
      <c r="B32" s="200" t="s">
        <v>202</v>
      </c>
      <c r="C32" s="151">
        <v>0.34930555555555554</v>
      </c>
      <c r="D32" s="5"/>
      <c r="E32" s="151">
        <v>0.5</v>
      </c>
      <c r="F32" s="5"/>
      <c r="G32" s="151">
        <v>0.5416666666666666</v>
      </c>
      <c r="H32" s="5"/>
      <c r="I32" s="151">
        <v>0.75</v>
      </c>
      <c r="J32" s="5"/>
      <c r="K32" s="6"/>
      <c r="L32" s="29">
        <v>7.0</v>
      </c>
      <c r="M32" s="39">
        <v>30.0</v>
      </c>
      <c r="N32" s="29"/>
      <c r="O32" s="31"/>
      <c r="P32" s="35"/>
      <c r="Q32" s="13"/>
      <c r="R32" s="13"/>
      <c r="S32" s="29"/>
    </row>
    <row r="33">
      <c r="A33" s="149">
        <v>26.0</v>
      </c>
      <c r="B33" s="200" t="s">
        <v>58</v>
      </c>
      <c r="C33" s="150">
        <v>0.34791666666666665</v>
      </c>
      <c r="D33" s="5"/>
      <c r="E33" s="150">
        <v>0.5</v>
      </c>
      <c r="F33" s="5"/>
      <c r="G33" s="150">
        <v>0.5416666666666666</v>
      </c>
      <c r="H33" s="5"/>
      <c r="I33" s="150">
        <v>0.75</v>
      </c>
      <c r="J33" s="5"/>
      <c r="K33" s="6"/>
      <c r="L33" s="29">
        <v>9.0</v>
      </c>
      <c r="M33" s="39">
        <v>30.0</v>
      </c>
      <c r="N33" s="29"/>
      <c r="O33" s="37"/>
      <c r="P33" s="35"/>
      <c r="Q33" s="13"/>
      <c r="R33" s="13"/>
      <c r="S33" s="13"/>
    </row>
    <row r="34">
      <c r="A34" s="149">
        <v>27.0</v>
      </c>
      <c r="B34" s="200" t="s">
        <v>18</v>
      </c>
      <c r="C34" s="150">
        <v>0.34930555555555554</v>
      </c>
      <c r="D34" s="5"/>
      <c r="E34" s="150">
        <v>0.5</v>
      </c>
      <c r="F34" s="5"/>
      <c r="G34" s="150">
        <v>0.5416666666666666</v>
      </c>
      <c r="H34" s="5"/>
      <c r="I34" s="150">
        <v>0.7472222222222222</v>
      </c>
      <c r="J34" s="5"/>
      <c r="K34" s="6"/>
      <c r="L34" s="29">
        <v>0.0</v>
      </c>
      <c r="M34" s="39">
        <v>30.0</v>
      </c>
      <c r="N34" s="96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99" t="s">
        <v>19</v>
      </c>
      <c r="C35" s="151">
        <v>0.34791666666666665</v>
      </c>
      <c r="D35" s="5"/>
      <c r="E35" s="151">
        <v>0.5</v>
      </c>
      <c r="F35" s="5"/>
      <c r="G35" s="151">
        <v>0.5416666666666666</v>
      </c>
      <c r="H35" s="5"/>
      <c r="I35" s="151">
        <v>0.7451388888888889</v>
      </c>
      <c r="J35" s="5"/>
      <c r="L35" s="29">
        <v>0.0</v>
      </c>
      <c r="M35" s="128">
        <v>30.0</v>
      </c>
      <c r="N35" s="93" t="s">
        <v>27</v>
      </c>
      <c r="O35" s="189">
        <v>-0.23472222222222222</v>
      </c>
      <c r="P35" s="94">
        <v>0.25069444444444444</v>
      </c>
      <c r="Q35" s="13"/>
      <c r="R35" s="13"/>
      <c r="S35" s="29" t="s">
        <v>106</v>
      </c>
      <c r="T35" s="13"/>
      <c r="U35" s="13"/>
      <c r="V35" s="13"/>
    </row>
    <row r="36">
      <c r="A36" s="149">
        <v>29.0</v>
      </c>
      <c r="B36" s="200" t="s">
        <v>20</v>
      </c>
      <c r="C36" s="151">
        <v>0.34791666666666665</v>
      </c>
      <c r="D36" s="5"/>
      <c r="E36" s="151">
        <v>0.5034722222222222</v>
      </c>
      <c r="F36" s="5"/>
      <c r="G36" s="151">
        <v>0.5416666666666666</v>
      </c>
      <c r="H36" s="5"/>
      <c r="I36" s="151">
        <v>0.7444444444444445</v>
      </c>
      <c r="J36" s="5"/>
      <c r="K36" s="6"/>
      <c r="L36" s="29">
        <v>6.0</v>
      </c>
      <c r="M36" s="39">
        <v>30.0</v>
      </c>
      <c r="N36" s="13"/>
      <c r="O36" s="13"/>
      <c r="P36" s="13"/>
      <c r="Q36" s="13"/>
      <c r="R36" s="13"/>
      <c r="S36" s="13"/>
    </row>
    <row r="37">
      <c r="A37" s="163">
        <v>30.0</v>
      </c>
      <c r="B37" s="200" t="s">
        <v>21</v>
      </c>
      <c r="C37" s="151">
        <v>0.32916666666666666</v>
      </c>
      <c r="D37" s="5"/>
      <c r="E37" s="181" t="s">
        <v>103</v>
      </c>
      <c r="F37" s="5"/>
      <c r="G37" s="181" t="s">
        <v>103</v>
      </c>
      <c r="H37" s="5"/>
      <c r="I37" s="151">
        <v>0.5</v>
      </c>
      <c r="J37" s="5"/>
      <c r="K37" s="6"/>
      <c r="L37" s="29">
        <v>6.0</v>
      </c>
      <c r="M37" s="39"/>
      <c r="N37" s="93" t="s">
        <v>27</v>
      </c>
      <c r="O37" s="189">
        <v>-0.23472222222222222</v>
      </c>
      <c r="P37" s="94">
        <v>0.2798611111111111</v>
      </c>
      <c r="Q37" s="13"/>
      <c r="R37" s="13"/>
      <c r="S37" s="29"/>
    </row>
    <row r="38">
      <c r="A38" s="163">
        <v>31.0</v>
      </c>
      <c r="B38" s="199" t="s">
        <v>23</v>
      </c>
      <c r="C38" s="181" t="s">
        <v>103</v>
      </c>
      <c r="D38" s="5"/>
      <c r="E38" s="181" t="s">
        <v>103</v>
      </c>
      <c r="F38" s="5"/>
      <c r="G38" s="181" t="s">
        <v>103</v>
      </c>
      <c r="H38" s="5"/>
      <c r="I38" s="181" t="s">
        <v>103</v>
      </c>
      <c r="J38" s="5"/>
      <c r="K38" s="6"/>
      <c r="L38" s="13"/>
      <c r="M38" s="39"/>
      <c r="N38" s="39"/>
      <c r="O38" s="31"/>
      <c r="P38" s="35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/>
      <c r="P39" s="13"/>
      <c r="Q39" s="13"/>
      <c r="R39" s="13"/>
      <c r="S39" s="13"/>
    </row>
    <row r="40">
      <c r="A40" s="107" t="s">
        <v>213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29"/>
      <c r="P40" s="13"/>
      <c r="Q40" s="13"/>
      <c r="R40" s="13"/>
      <c r="S40" s="13"/>
    </row>
    <row r="41">
      <c r="A41" s="107" t="s">
        <v>214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29"/>
      <c r="Q41" s="13"/>
      <c r="R41" s="13"/>
      <c r="S41" s="13"/>
    </row>
    <row r="42">
      <c r="A42" s="132" t="s">
        <v>215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29"/>
      <c r="P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  <c r="K46" s="6"/>
    </row>
  </sheetData>
  <mergeCells count="146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G30:H30"/>
    <mergeCell ref="I30:J30"/>
    <mergeCell ref="C28:D28"/>
    <mergeCell ref="E28:F28"/>
    <mergeCell ref="G28:H28"/>
    <mergeCell ref="I28:J28"/>
    <mergeCell ref="C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</row>
    <row r="4">
      <c r="A4" s="66" t="s">
        <v>5</v>
      </c>
      <c r="B4" s="63" t="s">
        <v>216</v>
      </c>
      <c r="C4" s="15"/>
      <c r="D4" s="15"/>
      <c r="E4" s="15"/>
      <c r="F4" s="5"/>
      <c r="G4" s="121"/>
      <c r="H4" s="5"/>
      <c r="I4" s="122"/>
      <c r="J4" s="122"/>
      <c r="K4" s="6"/>
    </row>
    <row r="5">
      <c r="A5" s="70" t="s">
        <v>7</v>
      </c>
      <c r="B5" s="123" t="s">
        <v>52</v>
      </c>
      <c r="C5" s="15"/>
      <c r="D5" s="15"/>
      <c r="E5" s="5"/>
      <c r="F5" s="72" t="s">
        <v>9</v>
      </c>
      <c r="G5" s="73"/>
      <c r="H5" s="74"/>
      <c r="I5" s="74"/>
      <c r="J5" s="74"/>
      <c r="K5" s="6"/>
    </row>
    <row r="6">
      <c r="A6" s="66" t="s">
        <v>10</v>
      </c>
      <c r="B6" s="123" t="s">
        <v>199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99" t="s">
        <v>20</v>
      </c>
      <c r="C8" s="147" t="s">
        <v>103</v>
      </c>
      <c r="D8" s="5"/>
      <c r="E8" s="147" t="s">
        <v>103</v>
      </c>
      <c r="F8" s="5"/>
      <c r="G8" s="147" t="s">
        <v>103</v>
      </c>
      <c r="H8" s="5"/>
      <c r="I8" s="147" t="s">
        <v>103</v>
      </c>
      <c r="J8" s="5"/>
      <c r="K8" s="6"/>
      <c r="L8" s="29"/>
      <c r="M8" s="29"/>
      <c r="N8" s="13"/>
      <c r="O8" s="13"/>
      <c r="P8" s="13"/>
      <c r="Q8" s="13"/>
      <c r="R8" s="13"/>
      <c r="S8" s="13"/>
    </row>
    <row r="9">
      <c r="A9" s="149">
        <v>2.0</v>
      </c>
      <c r="B9" s="200" t="s">
        <v>200</v>
      </c>
      <c r="C9" s="147" t="s">
        <v>103</v>
      </c>
      <c r="D9" s="5"/>
      <c r="E9" s="147" t="s">
        <v>103</v>
      </c>
      <c r="F9" s="5"/>
      <c r="G9" s="147" t="s">
        <v>103</v>
      </c>
      <c r="H9" s="5"/>
      <c r="I9" s="147" t="s">
        <v>103</v>
      </c>
      <c r="J9" s="5"/>
      <c r="K9" s="6"/>
      <c r="L9" s="29"/>
      <c r="M9" s="29"/>
      <c r="N9" s="13"/>
      <c r="O9" s="13"/>
      <c r="P9" s="13"/>
      <c r="Q9" s="13"/>
      <c r="R9" s="13"/>
      <c r="S9" s="13"/>
    </row>
    <row r="10">
      <c r="A10" s="149">
        <v>3.0</v>
      </c>
      <c r="B10" s="201" t="s">
        <v>29</v>
      </c>
      <c r="C10" s="147" t="s">
        <v>103</v>
      </c>
      <c r="D10" s="5"/>
      <c r="E10" s="147" t="s">
        <v>103</v>
      </c>
      <c r="F10" s="5"/>
      <c r="G10" s="147" t="s">
        <v>103</v>
      </c>
      <c r="H10" s="5"/>
      <c r="I10" s="147" t="s">
        <v>103</v>
      </c>
      <c r="J10" s="5"/>
      <c r="K10" s="6"/>
      <c r="L10" s="29"/>
      <c r="M10" s="29"/>
      <c r="N10" s="13"/>
      <c r="O10" s="13"/>
      <c r="P10" s="13"/>
      <c r="Q10" s="13"/>
      <c r="R10" s="13"/>
      <c r="S10" s="13"/>
    </row>
    <row r="11">
      <c r="A11" s="149">
        <v>4.0</v>
      </c>
      <c r="B11" s="199" t="s">
        <v>24</v>
      </c>
      <c r="C11" s="147" t="s">
        <v>103</v>
      </c>
      <c r="D11" s="5"/>
      <c r="E11" s="147" t="s">
        <v>103</v>
      </c>
      <c r="F11" s="5"/>
      <c r="G11" s="147" t="s">
        <v>103</v>
      </c>
      <c r="H11" s="5"/>
      <c r="I11" s="147" t="s">
        <v>103</v>
      </c>
      <c r="J11" s="5"/>
      <c r="K11" s="6"/>
      <c r="L11" s="29"/>
      <c r="M11" s="29"/>
      <c r="N11" s="13"/>
      <c r="O11" s="13"/>
      <c r="P11" s="13"/>
      <c r="Q11" s="13"/>
      <c r="R11" s="13"/>
      <c r="S11" s="13"/>
    </row>
    <row r="12">
      <c r="A12" s="149">
        <v>5.0</v>
      </c>
      <c r="B12" s="201" t="s">
        <v>25</v>
      </c>
      <c r="C12" s="147" t="s">
        <v>103</v>
      </c>
      <c r="D12" s="5"/>
      <c r="E12" s="147" t="s">
        <v>103</v>
      </c>
      <c r="F12" s="5"/>
      <c r="G12" s="147" t="s">
        <v>103</v>
      </c>
      <c r="H12" s="5"/>
      <c r="I12" s="147" t="s">
        <v>103</v>
      </c>
      <c r="J12" s="5"/>
      <c r="K12" s="6"/>
      <c r="L12" s="29"/>
      <c r="M12" s="29"/>
      <c r="N12" s="13"/>
      <c r="O12" s="13"/>
      <c r="P12" s="13"/>
      <c r="Q12" s="13"/>
      <c r="R12" s="13"/>
      <c r="S12" s="13"/>
    </row>
    <row r="13">
      <c r="A13" s="149">
        <v>6.0</v>
      </c>
      <c r="B13" s="201" t="s">
        <v>18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6"/>
      <c r="L13" s="29"/>
      <c r="M13" s="29"/>
      <c r="N13" s="29"/>
      <c r="O13" s="37"/>
      <c r="P13" s="35"/>
      <c r="Q13" s="13"/>
      <c r="R13" s="13"/>
      <c r="S13" s="29"/>
    </row>
    <row r="14">
      <c r="A14" s="149">
        <v>7.0</v>
      </c>
      <c r="B14" s="201" t="s">
        <v>26</v>
      </c>
      <c r="C14" s="147" t="s">
        <v>103</v>
      </c>
      <c r="D14" s="5"/>
      <c r="E14" s="147" t="s">
        <v>103</v>
      </c>
      <c r="F14" s="5"/>
      <c r="G14" s="147" t="s">
        <v>103</v>
      </c>
      <c r="H14" s="5"/>
      <c r="I14" s="147" t="s">
        <v>103</v>
      </c>
      <c r="J14" s="5"/>
      <c r="K14" s="6"/>
      <c r="L14" s="29"/>
      <c r="M14" s="29"/>
      <c r="N14" s="13"/>
      <c r="O14" s="13"/>
      <c r="P14" s="13"/>
      <c r="Q14" s="13"/>
      <c r="R14" s="13"/>
      <c r="S14" s="13"/>
    </row>
    <row r="15">
      <c r="A15" s="149">
        <v>8.0</v>
      </c>
      <c r="B15" s="199" t="s">
        <v>20</v>
      </c>
      <c r="C15" s="147" t="s">
        <v>103</v>
      </c>
      <c r="D15" s="5"/>
      <c r="E15" s="147" t="s">
        <v>103</v>
      </c>
      <c r="F15" s="5"/>
      <c r="G15" s="147" t="s">
        <v>103</v>
      </c>
      <c r="H15" s="5"/>
      <c r="I15" s="147" t="s">
        <v>103</v>
      </c>
      <c r="J15" s="5"/>
      <c r="K15" s="6"/>
      <c r="L15" s="29"/>
      <c r="M15" s="29"/>
      <c r="N15" s="93"/>
      <c r="O15" s="189"/>
      <c r="P15" s="94"/>
      <c r="Q15" s="13"/>
      <c r="R15" s="13"/>
      <c r="S15" s="13"/>
    </row>
    <row r="16">
      <c r="A16" s="149">
        <v>9.0</v>
      </c>
      <c r="B16" s="200" t="s">
        <v>21</v>
      </c>
      <c r="C16" s="147" t="s">
        <v>103</v>
      </c>
      <c r="D16" s="5"/>
      <c r="E16" s="147" t="s">
        <v>103</v>
      </c>
      <c r="F16" s="5"/>
      <c r="G16" s="147" t="s">
        <v>103</v>
      </c>
      <c r="H16" s="5"/>
      <c r="I16" s="147" t="s">
        <v>103</v>
      </c>
      <c r="J16" s="5"/>
      <c r="K16" s="6"/>
      <c r="L16" s="29"/>
      <c r="M16" s="29"/>
      <c r="N16" s="13"/>
      <c r="O16" s="13"/>
      <c r="P16" s="13"/>
      <c r="Q16" s="13"/>
      <c r="R16" s="13"/>
      <c r="S16" s="13"/>
    </row>
    <row r="17">
      <c r="A17" s="149">
        <v>10.0</v>
      </c>
      <c r="B17" s="201" t="s">
        <v>23</v>
      </c>
      <c r="C17" s="147" t="s">
        <v>103</v>
      </c>
      <c r="D17" s="5"/>
      <c r="E17" s="147" t="s">
        <v>103</v>
      </c>
      <c r="F17" s="5"/>
      <c r="G17" s="147" t="s">
        <v>103</v>
      </c>
      <c r="H17" s="5"/>
      <c r="I17" s="147" t="s">
        <v>103</v>
      </c>
      <c r="J17" s="5"/>
      <c r="K17" s="6"/>
      <c r="L17" s="29"/>
      <c r="M17" s="29"/>
      <c r="N17" s="13"/>
      <c r="O17" s="13"/>
      <c r="P17" s="13"/>
      <c r="Q17" s="13"/>
      <c r="R17" s="13"/>
      <c r="S17" s="13"/>
    </row>
    <row r="18">
      <c r="A18" s="149">
        <v>11.0</v>
      </c>
      <c r="B18" s="199" t="s">
        <v>24</v>
      </c>
      <c r="C18" s="147" t="s">
        <v>103</v>
      </c>
      <c r="D18" s="5"/>
      <c r="E18" s="147" t="s">
        <v>103</v>
      </c>
      <c r="F18" s="5"/>
      <c r="G18" s="147" t="s">
        <v>103</v>
      </c>
      <c r="H18" s="5"/>
      <c r="I18" s="147" t="s">
        <v>103</v>
      </c>
      <c r="J18" s="5"/>
      <c r="K18" s="6"/>
      <c r="L18" s="29"/>
      <c r="M18" s="29"/>
      <c r="N18" s="13"/>
      <c r="O18" s="35"/>
      <c r="P18" s="13"/>
      <c r="Q18" s="13"/>
      <c r="R18" s="13"/>
      <c r="S18" s="13"/>
    </row>
    <row r="19">
      <c r="A19" s="149">
        <v>12.0</v>
      </c>
      <c r="B19" s="200" t="s">
        <v>25</v>
      </c>
      <c r="C19" s="150">
        <v>0.3625</v>
      </c>
      <c r="D19" s="5"/>
      <c r="E19" s="150">
        <v>0.5034722222222222</v>
      </c>
      <c r="F19" s="5"/>
      <c r="G19" s="150">
        <v>0.5465277777777777</v>
      </c>
      <c r="H19" s="5"/>
      <c r="I19" s="150">
        <v>0.7263888888888889</v>
      </c>
      <c r="J19" s="5"/>
      <c r="K19" s="6"/>
      <c r="L19" s="29">
        <v>-48.0</v>
      </c>
      <c r="M19" s="29">
        <v>30.0</v>
      </c>
      <c r="N19" s="29"/>
      <c r="O19" s="37"/>
      <c r="P19" s="35"/>
      <c r="Q19" s="13"/>
      <c r="R19" s="13"/>
      <c r="S19" s="13"/>
    </row>
    <row r="20">
      <c r="A20" s="149">
        <v>13.0</v>
      </c>
      <c r="B20" s="200" t="s">
        <v>18</v>
      </c>
      <c r="C20" s="150">
        <v>0.3527777777777778</v>
      </c>
      <c r="D20" s="5"/>
      <c r="E20" s="150">
        <v>0.5083333333333333</v>
      </c>
      <c r="F20" s="5"/>
      <c r="G20" s="150">
        <v>0.5493055555555556</v>
      </c>
      <c r="H20" s="5"/>
      <c r="I20" s="150">
        <v>0.7465277777777778</v>
      </c>
      <c r="J20" s="5"/>
      <c r="K20" s="6"/>
      <c r="L20" s="29">
        <v>0.0</v>
      </c>
      <c r="M20" s="29">
        <v>30.0</v>
      </c>
      <c r="N20" s="13"/>
      <c r="O20" s="13"/>
      <c r="P20" s="13"/>
      <c r="Q20" s="13"/>
      <c r="R20" s="13"/>
      <c r="S20" s="13"/>
    </row>
    <row r="21">
      <c r="A21" s="149">
        <v>14.0</v>
      </c>
      <c r="B21" s="201" t="s">
        <v>26</v>
      </c>
      <c r="C21" s="150">
        <v>0.35208333333333336</v>
      </c>
      <c r="D21" s="5"/>
      <c r="E21" s="150">
        <v>0.5034722222222222</v>
      </c>
      <c r="F21" s="5"/>
      <c r="G21" s="150">
        <v>0.5520833333333334</v>
      </c>
      <c r="H21" s="5"/>
      <c r="I21" s="150">
        <v>0.7548611111111111</v>
      </c>
      <c r="J21" s="5"/>
      <c r="K21" s="6"/>
      <c r="L21" s="96">
        <v>0.0</v>
      </c>
      <c r="M21" s="29">
        <v>30.0</v>
      </c>
      <c r="N21" s="13"/>
      <c r="O21" s="13"/>
      <c r="P21" s="13"/>
      <c r="Q21" s="13"/>
      <c r="R21" s="13"/>
      <c r="S21" s="13"/>
    </row>
    <row r="22">
      <c r="A22" s="149">
        <v>15.0</v>
      </c>
      <c r="B22" s="199" t="s">
        <v>201</v>
      </c>
      <c r="C22" s="150">
        <v>0.3541666666666667</v>
      </c>
      <c r="D22" s="5"/>
      <c r="E22" s="151">
        <v>0.5069444444444444</v>
      </c>
      <c r="F22" s="5"/>
      <c r="G22" s="151">
        <v>0.5486111111111112</v>
      </c>
      <c r="H22" s="5"/>
      <c r="I22" s="150">
        <v>0.75</v>
      </c>
      <c r="J22" s="5"/>
      <c r="K22" s="6"/>
      <c r="L22" s="29">
        <v>0.0</v>
      </c>
      <c r="M22" s="29">
        <v>30.0</v>
      </c>
      <c r="N22" s="29"/>
      <c r="O22" s="31"/>
      <c r="P22" s="35"/>
      <c r="Q22" s="13"/>
      <c r="R22" s="13"/>
      <c r="S22" s="29"/>
    </row>
    <row r="23">
      <c r="A23" s="149">
        <v>16.0</v>
      </c>
      <c r="B23" s="200" t="s">
        <v>21</v>
      </c>
      <c r="C23" s="152">
        <v>0.33194444444444443</v>
      </c>
      <c r="D23" s="5"/>
      <c r="E23" s="154" t="s">
        <v>103</v>
      </c>
      <c r="F23" s="5"/>
      <c r="G23" s="154" t="s">
        <v>103</v>
      </c>
      <c r="H23" s="5"/>
      <c r="I23" s="152">
        <v>0.4979166666666667</v>
      </c>
      <c r="J23" s="5"/>
      <c r="K23" s="6"/>
      <c r="L23" s="29">
        <v>0.0</v>
      </c>
      <c r="M23" s="29"/>
      <c r="N23" s="13"/>
      <c r="O23" s="13"/>
      <c r="P23" s="13"/>
      <c r="Q23" s="13"/>
      <c r="R23" s="13"/>
      <c r="S23" s="13"/>
    </row>
    <row r="24">
      <c r="A24" s="149">
        <v>17.0</v>
      </c>
      <c r="B24" s="201" t="s">
        <v>23</v>
      </c>
      <c r="C24" s="147" t="s">
        <v>103</v>
      </c>
      <c r="D24" s="5"/>
      <c r="E24" s="147" t="s">
        <v>103</v>
      </c>
      <c r="F24" s="5"/>
      <c r="G24" s="147" t="s">
        <v>103</v>
      </c>
      <c r="H24" s="5"/>
      <c r="I24" s="147" t="s">
        <v>103</v>
      </c>
      <c r="J24" s="5"/>
      <c r="K24" s="6"/>
      <c r="L24" s="29"/>
      <c r="M24" s="29"/>
      <c r="N24" s="29"/>
      <c r="O24" s="37"/>
      <c r="P24" s="35"/>
      <c r="Q24" s="13"/>
      <c r="R24" s="13"/>
      <c r="S24" s="13"/>
    </row>
    <row r="25">
      <c r="A25" s="149">
        <v>18.0</v>
      </c>
      <c r="B25" s="199" t="s">
        <v>202</v>
      </c>
      <c r="C25" s="150">
        <v>0.3541666666666667</v>
      </c>
      <c r="D25" s="5"/>
      <c r="E25" s="150">
        <v>0.5090277777777777</v>
      </c>
      <c r="F25" s="5"/>
      <c r="G25" s="150">
        <v>0.5541666666666667</v>
      </c>
      <c r="H25" s="5"/>
      <c r="I25" s="150">
        <v>0.7513888888888889</v>
      </c>
      <c r="J25" s="5"/>
      <c r="K25" s="6"/>
      <c r="L25" s="29">
        <v>0.0</v>
      </c>
      <c r="M25" s="29">
        <v>30.0</v>
      </c>
      <c r="N25" s="13"/>
      <c r="O25" s="13"/>
      <c r="P25" s="13"/>
      <c r="Q25" s="13"/>
      <c r="R25" s="13"/>
      <c r="S25" s="13"/>
    </row>
    <row r="26">
      <c r="A26" s="149">
        <v>19.0</v>
      </c>
      <c r="B26" s="200" t="s">
        <v>58</v>
      </c>
      <c r="C26" s="150">
        <v>0.35208333333333336</v>
      </c>
      <c r="D26" s="5"/>
      <c r="E26" s="150">
        <v>0.5</v>
      </c>
      <c r="F26" s="5"/>
      <c r="G26" s="150">
        <v>0.5416666666666666</v>
      </c>
      <c r="H26" s="5"/>
      <c r="I26" s="150">
        <v>0.7430555555555556</v>
      </c>
      <c r="J26" s="5"/>
      <c r="K26" s="127"/>
      <c r="L26" s="29">
        <v>-7.0</v>
      </c>
      <c r="M26" s="29">
        <v>30.0</v>
      </c>
      <c r="N26" s="96"/>
      <c r="O26" s="29"/>
      <c r="P26" s="35"/>
      <c r="Q26" s="13"/>
      <c r="R26" s="13"/>
      <c r="S26" s="13"/>
    </row>
    <row r="27">
      <c r="A27" s="149">
        <v>20.0</v>
      </c>
      <c r="B27" s="200" t="s">
        <v>18</v>
      </c>
      <c r="C27" s="147" t="s">
        <v>103</v>
      </c>
      <c r="D27" s="5"/>
      <c r="E27" s="150">
        <v>0.5006944444444444</v>
      </c>
      <c r="F27" s="5"/>
      <c r="G27" s="150">
        <v>0.5416666666666666</v>
      </c>
      <c r="H27" s="5"/>
      <c r="I27" s="150">
        <v>0.7465277777777778</v>
      </c>
      <c r="J27" s="5"/>
      <c r="K27" s="6"/>
      <c r="L27" s="29">
        <v>0.0</v>
      </c>
      <c r="M27" s="29">
        <v>30.0</v>
      </c>
      <c r="N27" s="13"/>
      <c r="O27" s="13"/>
      <c r="P27" s="13"/>
      <c r="Q27" s="13"/>
      <c r="R27" s="13"/>
      <c r="S27" s="13"/>
    </row>
    <row r="28">
      <c r="A28" s="149">
        <v>21.0</v>
      </c>
      <c r="B28" s="199" t="s">
        <v>19</v>
      </c>
      <c r="C28" s="150">
        <v>0.3625</v>
      </c>
      <c r="D28" s="5"/>
      <c r="E28" s="150">
        <v>0.5013888888888889</v>
      </c>
      <c r="F28" s="5"/>
      <c r="G28" s="150">
        <v>0.5479166666666667</v>
      </c>
      <c r="H28" s="5"/>
      <c r="I28" s="150">
        <v>0.7444444444444445</v>
      </c>
      <c r="J28" s="5"/>
      <c r="K28" s="6"/>
      <c r="L28" s="29">
        <v>-27.0</v>
      </c>
      <c r="M28" s="39">
        <v>30.0</v>
      </c>
      <c r="N28" s="191"/>
      <c r="O28" s="31"/>
      <c r="P28" s="13"/>
      <c r="Q28" s="13"/>
      <c r="R28" s="13"/>
      <c r="S28" s="13"/>
    </row>
    <row r="29">
      <c r="A29" s="149">
        <v>22.0</v>
      </c>
      <c r="B29" s="200" t="s">
        <v>20</v>
      </c>
      <c r="C29" s="150">
        <v>0.3527777777777778</v>
      </c>
      <c r="D29" s="5"/>
      <c r="E29" s="150">
        <v>0.5048611111111111</v>
      </c>
      <c r="F29" s="5"/>
      <c r="G29" s="150">
        <v>0.5506944444444445</v>
      </c>
      <c r="H29" s="5"/>
      <c r="I29" s="150">
        <v>0.7465277777777778</v>
      </c>
      <c r="J29" s="5"/>
      <c r="K29" s="6"/>
      <c r="L29" s="29">
        <v>-9.0</v>
      </c>
      <c r="M29" s="39">
        <v>30.0</v>
      </c>
      <c r="N29" s="13"/>
      <c r="O29" s="13"/>
      <c r="P29" s="13"/>
      <c r="Q29" s="13"/>
      <c r="R29" s="13"/>
      <c r="S29" s="13"/>
    </row>
    <row r="30">
      <c r="A30" s="149">
        <v>23.0</v>
      </c>
      <c r="B30" s="200" t="s">
        <v>21</v>
      </c>
      <c r="C30" s="151">
        <v>0.33194444444444443</v>
      </c>
      <c r="D30" s="5"/>
      <c r="E30" s="181" t="s">
        <v>103</v>
      </c>
      <c r="F30" s="5"/>
      <c r="G30" s="181" t="s">
        <v>103</v>
      </c>
      <c r="H30" s="5"/>
      <c r="I30" s="151">
        <v>0.49583333333333335</v>
      </c>
      <c r="J30" s="5"/>
      <c r="K30" s="6"/>
      <c r="L30" s="29">
        <v>0.0</v>
      </c>
      <c r="M30" s="39"/>
      <c r="N30" s="93" t="s">
        <v>190</v>
      </c>
      <c r="O30" s="189">
        <v>-0.06319444444444444</v>
      </c>
      <c r="P30" s="94">
        <v>0.1875</v>
      </c>
      <c r="Q30" s="13"/>
      <c r="R30" s="13"/>
      <c r="S30" s="29" t="s">
        <v>106</v>
      </c>
    </row>
    <row r="31">
      <c r="A31" s="149">
        <v>24.0</v>
      </c>
      <c r="B31" s="199" t="s">
        <v>23</v>
      </c>
      <c r="C31" s="181" t="s">
        <v>103</v>
      </c>
      <c r="D31" s="5"/>
      <c r="E31" s="181" t="s">
        <v>103</v>
      </c>
      <c r="F31" s="5"/>
      <c r="G31" s="181" t="s">
        <v>103</v>
      </c>
      <c r="H31" s="5"/>
      <c r="I31" s="181" t="s">
        <v>103</v>
      </c>
      <c r="J31" s="5"/>
      <c r="K31" s="6"/>
      <c r="L31" s="29"/>
      <c r="M31" s="39"/>
      <c r="N31" s="13"/>
      <c r="O31" s="13"/>
      <c r="P31" s="13"/>
      <c r="Q31" s="13"/>
      <c r="R31" s="13"/>
      <c r="S31" s="13"/>
    </row>
    <row r="32">
      <c r="A32" s="149">
        <v>25.0</v>
      </c>
      <c r="B32" s="200" t="s">
        <v>202</v>
      </c>
      <c r="C32" s="151">
        <v>0.3576388888888889</v>
      </c>
      <c r="D32" s="5"/>
      <c r="E32" s="151">
        <v>0.5006944444444444</v>
      </c>
      <c r="F32" s="5"/>
      <c r="G32" s="151">
        <v>0.5458333333333333</v>
      </c>
      <c r="H32" s="5"/>
      <c r="I32" s="151">
        <v>0.75</v>
      </c>
      <c r="J32" s="5"/>
      <c r="K32" s="6"/>
      <c r="L32" s="29">
        <v>-10.0</v>
      </c>
      <c r="M32" s="39">
        <v>30.0</v>
      </c>
      <c r="N32" s="29"/>
      <c r="O32" s="31"/>
      <c r="P32" s="35"/>
      <c r="Q32" s="13"/>
      <c r="R32" s="13"/>
      <c r="S32" s="29"/>
    </row>
    <row r="33">
      <c r="A33" s="149">
        <v>26.0</v>
      </c>
      <c r="B33" s="200" t="s">
        <v>58</v>
      </c>
      <c r="C33" s="150">
        <v>0.3576388888888889</v>
      </c>
      <c r="D33" s="5"/>
      <c r="E33" s="150">
        <v>0.5069444444444444</v>
      </c>
      <c r="F33" s="5"/>
      <c r="G33" s="150">
        <v>0.5520833333333334</v>
      </c>
      <c r="H33" s="5"/>
      <c r="I33" s="150">
        <v>0.7520833333333333</v>
      </c>
      <c r="J33" s="5"/>
      <c r="K33" s="6"/>
      <c r="L33" s="29">
        <v>-7.0</v>
      </c>
      <c r="M33" s="39">
        <v>30.0</v>
      </c>
      <c r="N33" s="29"/>
      <c r="O33" s="37"/>
      <c r="P33" s="35"/>
      <c r="Q33" s="13"/>
      <c r="R33" s="13"/>
      <c r="S33" s="13"/>
    </row>
    <row r="34">
      <c r="A34" s="149">
        <v>27.0</v>
      </c>
      <c r="B34" s="200" t="s">
        <v>18</v>
      </c>
      <c r="C34" s="150">
        <v>0.36527777777777776</v>
      </c>
      <c r="D34" s="5"/>
      <c r="E34" s="150">
        <v>0.5069444444444444</v>
      </c>
      <c r="F34" s="5"/>
      <c r="G34" s="150">
        <v>0.5555555555555556</v>
      </c>
      <c r="H34" s="5"/>
      <c r="I34" s="150">
        <v>0.7479166666666667</v>
      </c>
      <c r="J34" s="5"/>
      <c r="K34" s="6"/>
      <c r="L34" s="29">
        <v>-29.0</v>
      </c>
      <c r="M34" s="39">
        <v>1.0</v>
      </c>
      <c r="N34" s="96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99" t="s">
        <v>19</v>
      </c>
      <c r="C35" s="151">
        <v>0.35694444444444445</v>
      </c>
      <c r="D35" s="5"/>
      <c r="E35" s="151">
        <v>0.5041666666666667</v>
      </c>
      <c r="F35" s="5"/>
      <c r="G35" s="151">
        <v>0.5465277777777777</v>
      </c>
      <c r="H35" s="5"/>
      <c r="I35" s="151">
        <v>0.7479166666666667</v>
      </c>
      <c r="J35" s="5"/>
      <c r="L35" s="29">
        <v>-8.0</v>
      </c>
      <c r="M35" s="128">
        <v>30.0</v>
      </c>
      <c r="N35" s="93" t="s">
        <v>190</v>
      </c>
      <c r="O35" s="93" t="s">
        <v>217</v>
      </c>
      <c r="P35" s="94">
        <v>0.25069444444444444</v>
      </c>
      <c r="Q35" s="13"/>
      <c r="R35" s="13"/>
      <c r="S35" s="29" t="s">
        <v>106</v>
      </c>
      <c r="T35" s="13"/>
      <c r="U35" s="13"/>
      <c r="V35" s="13"/>
    </row>
    <row r="36">
      <c r="A36" s="149">
        <v>29.0</v>
      </c>
      <c r="B36" s="200" t="s">
        <v>20</v>
      </c>
      <c r="C36" s="151">
        <v>0.35625</v>
      </c>
      <c r="D36" s="5"/>
      <c r="E36" s="151">
        <v>0.5013888888888889</v>
      </c>
      <c r="F36" s="5"/>
      <c r="G36" s="151">
        <v>0.5451388888888888</v>
      </c>
      <c r="H36" s="5"/>
      <c r="I36" s="151">
        <v>0.7444444444444445</v>
      </c>
      <c r="J36" s="5"/>
      <c r="K36" s="6"/>
      <c r="L36" s="29">
        <v>0.0</v>
      </c>
      <c r="M36" s="39">
        <v>30.0</v>
      </c>
      <c r="N36" s="13"/>
      <c r="O36" s="13"/>
      <c r="P36" s="13"/>
      <c r="Q36" s="13"/>
      <c r="R36" s="13"/>
      <c r="S36" s="13"/>
    </row>
    <row r="37">
      <c r="A37" s="163">
        <v>30.0</v>
      </c>
      <c r="B37" s="200" t="s">
        <v>21</v>
      </c>
      <c r="C37" s="151">
        <v>0.32916666666666666</v>
      </c>
      <c r="D37" s="5"/>
      <c r="E37" s="181" t="s">
        <v>103</v>
      </c>
      <c r="F37" s="5"/>
      <c r="G37" s="181" t="s">
        <v>103</v>
      </c>
      <c r="H37" s="5"/>
      <c r="I37" s="151">
        <v>0.5</v>
      </c>
      <c r="J37" s="5"/>
      <c r="K37" s="6"/>
      <c r="L37" s="29">
        <v>6.0</v>
      </c>
      <c r="M37" s="39"/>
      <c r="N37" s="93" t="s">
        <v>190</v>
      </c>
      <c r="O37" s="93" t="s">
        <v>217</v>
      </c>
      <c r="P37" s="94">
        <v>0.27569444444444446</v>
      </c>
      <c r="Q37" s="13"/>
      <c r="R37" s="13"/>
      <c r="S37" s="29"/>
    </row>
    <row r="38">
      <c r="A38" s="163">
        <v>31.0</v>
      </c>
      <c r="B38" s="199" t="s">
        <v>23</v>
      </c>
      <c r="C38" s="181" t="s">
        <v>103</v>
      </c>
      <c r="D38" s="5"/>
      <c r="E38" s="181" t="s">
        <v>103</v>
      </c>
      <c r="F38" s="5"/>
      <c r="G38" s="181" t="s">
        <v>103</v>
      </c>
      <c r="H38" s="5"/>
      <c r="I38" s="181" t="s">
        <v>103</v>
      </c>
      <c r="J38" s="5"/>
      <c r="K38" s="6"/>
      <c r="L38" s="13"/>
      <c r="M38" s="39"/>
      <c r="N38" s="39"/>
      <c r="O38" s="31"/>
      <c r="P38" s="35"/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/>
      <c r="P39" s="13"/>
      <c r="Q39" s="13"/>
      <c r="R39" s="13"/>
      <c r="S39" s="13"/>
    </row>
    <row r="40">
      <c r="A40" s="107" t="s">
        <v>218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29"/>
      <c r="P40" s="13"/>
      <c r="Q40" s="13"/>
      <c r="R40" s="13"/>
      <c r="S40" s="13"/>
    </row>
    <row r="41">
      <c r="A41" s="107" t="s">
        <v>219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29"/>
      <c r="Q41" s="13"/>
      <c r="R41" s="13"/>
      <c r="S41" s="13"/>
    </row>
    <row r="42">
      <c r="A42" s="132" t="s">
        <v>220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29"/>
      <c r="P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  <c r="K46" s="6"/>
    </row>
  </sheetData>
  <mergeCells count="149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C37:D37"/>
    <mergeCell ref="C38:D38"/>
    <mergeCell ref="E38:F38"/>
    <mergeCell ref="G38:H38"/>
    <mergeCell ref="I38:J38"/>
    <mergeCell ref="C36:D36"/>
    <mergeCell ref="E36:F36"/>
    <mergeCell ref="G36:H36"/>
    <mergeCell ref="I36:J36"/>
    <mergeCell ref="E37:F37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1.38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174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221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</row>
    <row r="8">
      <c r="A8" s="148">
        <v>1.0</v>
      </c>
      <c r="B8" s="199" t="s">
        <v>58</v>
      </c>
      <c r="C8" s="151">
        <v>0.34930555555555554</v>
      </c>
      <c r="D8" s="5"/>
      <c r="E8" s="151">
        <v>0.5513888888888889</v>
      </c>
      <c r="F8" s="5"/>
      <c r="G8" s="151">
        <v>0.5979166666666667</v>
      </c>
      <c r="H8" s="5"/>
      <c r="I8" s="151">
        <v>0.7444444444444445</v>
      </c>
      <c r="J8" s="5"/>
      <c r="K8" s="12"/>
      <c r="L8" s="29">
        <v>0.0</v>
      </c>
      <c r="M8" s="13"/>
      <c r="N8" s="13"/>
      <c r="O8" s="13"/>
      <c r="P8" s="13"/>
    </row>
    <row r="9">
      <c r="A9" s="149">
        <v>2.0</v>
      </c>
      <c r="B9" s="200" t="s">
        <v>18</v>
      </c>
      <c r="C9" s="151">
        <v>0.34930555555555554</v>
      </c>
      <c r="D9" s="5"/>
      <c r="E9" s="151">
        <v>0.5597222222222222</v>
      </c>
      <c r="F9" s="5"/>
      <c r="G9" s="151">
        <v>0.6048611111111111</v>
      </c>
      <c r="H9" s="5"/>
      <c r="I9" s="151">
        <v>0.7479166666666667</v>
      </c>
      <c r="J9" s="5"/>
      <c r="K9" s="12"/>
      <c r="L9" s="29">
        <v>0.0</v>
      </c>
      <c r="M9" s="29"/>
      <c r="N9" s="13"/>
      <c r="O9" s="13"/>
      <c r="P9" s="13"/>
    </row>
    <row r="10">
      <c r="A10" s="149">
        <v>3.0</v>
      </c>
      <c r="B10" s="201" t="s">
        <v>19</v>
      </c>
      <c r="C10" s="150">
        <v>0.3472222222222222</v>
      </c>
      <c r="D10" s="5"/>
      <c r="E10" s="150">
        <v>0.5680555555555555</v>
      </c>
      <c r="F10" s="5"/>
      <c r="G10" s="150">
        <v>0.6131944444444445</v>
      </c>
      <c r="H10" s="5"/>
      <c r="I10" s="150">
        <v>0.7479166666666667</v>
      </c>
      <c r="J10" s="5"/>
      <c r="K10" s="12"/>
      <c r="L10" s="29">
        <v>7.0</v>
      </c>
      <c r="M10" s="13"/>
      <c r="N10" s="13"/>
      <c r="O10" s="13"/>
      <c r="P10" s="13"/>
    </row>
    <row r="11">
      <c r="A11" s="149">
        <v>4.0</v>
      </c>
      <c r="B11" s="199" t="s">
        <v>20</v>
      </c>
      <c r="C11" s="150">
        <v>0.34930555555555554</v>
      </c>
      <c r="D11" s="5"/>
      <c r="E11" s="150">
        <v>0.5625</v>
      </c>
      <c r="F11" s="5"/>
      <c r="G11" s="150">
        <v>0.6083333333333333</v>
      </c>
      <c r="H11" s="5"/>
      <c r="I11" s="150">
        <v>0.7597222222222222</v>
      </c>
      <c r="J11" s="5"/>
      <c r="K11" s="12"/>
      <c r="L11" s="29">
        <v>20.0</v>
      </c>
      <c r="M11" s="13"/>
      <c r="N11" s="13"/>
      <c r="O11" s="13"/>
      <c r="P11" s="13"/>
    </row>
    <row r="12">
      <c r="A12" s="149">
        <v>5.0</v>
      </c>
      <c r="B12" s="201" t="s">
        <v>21</v>
      </c>
      <c r="C12" s="150">
        <v>0.33125</v>
      </c>
      <c r="D12" s="5"/>
      <c r="E12" s="147" t="s">
        <v>103</v>
      </c>
      <c r="F12" s="5"/>
      <c r="G12" s="147" t="s">
        <v>103</v>
      </c>
      <c r="H12" s="5"/>
      <c r="I12" s="150">
        <v>0.5013888888888889</v>
      </c>
      <c r="J12" s="5"/>
      <c r="K12" s="12"/>
      <c r="L12" s="29">
        <v>0.0</v>
      </c>
      <c r="M12" s="13"/>
      <c r="N12" s="13"/>
      <c r="O12" s="13"/>
      <c r="P12" s="13"/>
    </row>
    <row r="13">
      <c r="A13" s="149">
        <v>6.0</v>
      </c>
      <c r="B13" s="201" t="s">
        <v>29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12"/>
      <c r="L13" s="29"/>
      <c r="M13" s="29"/>
      <c r="N13" s="29"/>
      <c r="O13" s="29"/>
      <c r="P13" s="13"/>
    </row>
    <row r="14">
      <c r="A14" s="149">
        <v>7.0</v>
      </c>
      <c r="B14" s="201" t="s">
        <v>202</v>
      </c>
      <c r="C14" s="150">
        <v>0.3506944444444444</v>
      </c>
      <c r="D14" s="5"/>
      <c r="E14" s="150">
        <v>0.55</v>
      </c>
      <c r="F14" s="5"/>
      <c r="G14" s="150">
        <v>0.5972222222222222</v>
      </c>
      <c r="H14" s="5"/>
      <c r="I14" s="150">
        <v>0.7451388888888889</v>
      </c>
      <c r="J14" s="5"/>
      <c r="K14" s="12"/>
      <c r="L14" s="29">
        <v>0.0</v>
      </c>
      <c r="M14" s="13"/>
      <c r="N14" s="13"/>
      <c r="O14" s="13"/>
      <c r="P14" s="13"/>
    </row>
    <row r="15">
      <c r="A15" s="149">
        <v>8.0</v>
      </c>
      <c r="B15" s="199" t="s">
        <v>58</v>
      </c>
      <c r="C15" s="150">
        <v>0.34791666666666665</v>
      </c>
      <c r="D15" s="5"/>
      <c r="E15" s="151">
        <v>0.5652777777777778</v>
      </c>
      <c r="F15" s="5"/>
      <c r="G15" s="151">
        <v>0.6277777777777778</v>
      </c>
      <c r="H15" s="5"/>
      <c r="I15" s="151">
        <v>0.7451388888888889</v>
      </c>
      <c r="J15" s="5"/>
      <c r="K15" s="12"/>
      <c r="L15" s="29">
        <v>-23.0</v>
      </c>
      <c r="M15" s="95"/>
      <c r="N15" s="93" t="s">
        <v>190</v>
      </c>
      <c r="O15" s="93">
        <v>-23.0</v>
      </c>
      <c r="P15" s="93">
        <v>27.0</v>
      </c>
    </row>
    <row r="16">
      <c r="A16" s="149">
        <v>9.0</v>
      </c>
      <c r="B16" s="200" t="s">
        <v>18</v>
      </c>
      <c r="C16" s="151">
        <v>0.3458333333333333</v>
      </c>
      <c r="D16" s="5"/>
      <c r="E16" s="151">
        <v>0.5569444444444445</v>
      </c>
      <c r="F16" s="5"/>
      <c r="G16" s="151">
        <v>0.6006944444444444</v>
      </c>
      <c r="H16" s="5"/>
      <c r="I16" s="151">
        <v>0.74375</v>
      </c>
      <c r="J16" s="5"/>
      <c r="K16" s="12"/>
      <c r="L16" s="29">
        <v>0.0</v>
      </c>
      <c r="M16" s="13"/>
      <c r="N16" s="13"/>
      <c r="O16" s="13"/>
      <c r="P16" s="13"/>
    </row>
    <row r="17">
      <c r="A17" s="149">
        <v>10.0</v>
      </c>
      <c r="B17" s="201" t="s">
        <v>19</v>
      </c>
      <c r="C17" s="150">
        <v>0.35138888888888886</v>
      </c>
      <c r="D17" s="5"/>
      <c r="E17" s="150">
        <v>0.5604166666666667</v>
      </c>
      <c r="F17" s="5"/>
      <c r="G17" s="150">
        <v>0.60625</v>
      </c>
      <c r="H17" s="5"/>
      <c r="I17" s="150">
        <v>0.74375</v>
      </c>
      <c r="J17" s="5"/>
      <c r="K17" s="12"/>
      <c r="L17" s="39">
        <v>-6.0</v>
      </c>
      <c r="M17" s="29"/>
      <c r="N17" s="31"/>
      <c r="O17" s="29"/>
      <c r="P17" s="13"/>
    </row>
    <row r="18">
      <c r="A18" s="149">
        <v>11.0</v>
      </c>
      <c r="B18" s="199" t="s">
        <v>20</v>
      </c>
      <c r="C18" s="150">
        <v>0.34930555555555554</v>
      </c>
      <c r="D18" s="5"/>
      <c r="E18" s="150">
        <v>0.55625</v>
      </c>
      <c r="F18" s="5"/>
      <c r="G18" s="150">
        <v>0.6013888888888889</v>
      </c>
      <c r="H18" s="5"/>
      <c r="I18" s="150">
        <v>0.7430555555555556</v>
      </c>
      <c r="J18" s="5"/>
      <c r="K18" s="12"/>
      <c r="L18" s="29">
        <v>0.0</v>
      </c>
      <c r="M18" s="13"/>
      <c r="N18" s="13"/>
      <c r="O18" s="13"/>
      <c r="P18" s="13"/>
    </row>
    <row r="19">
      <c r="A19" s="149">
        <v>12.0</v>
      </c>
      <c r="B19" s="200" t="s">
        <v>21</v>
      </c>
      <c r="C19" s="150">
        <v>0.32916666666666666</v>
      </c>
      <c r="D19" s="5"/>
      <c r="E19" s="147" t="s">
        <v>103</v>
      </c>
      <c r="F19" s="5"/>
      <c r="G19" s="147" t="s">
        <v>103</v>
      </c>
      <c r="H19" s="5"/>
      <c r="I19" s="150">
        <v>0.5</v>
      </c>
      <c r="J19" s="5"/>
      <c r="K19" s="12"/>
      <c r="L19" s="39">
        <v>6.0</v>
      </c>
      <c r="M19" s="29"/>
      <c r="N19" s="13"/>
      <c r="O19" s="13"/>
      <c r="P19" s="13"/>
    </row>
    <row r="20">
      <c r="A20" s="149">
        <v>13.0</v>
      </c>
      <c r="B20" s="200" t="s">
        <v>23</v>
      </c>
      <c r="C20" s="147" t="s">
        <v>103</v>
      </c>
      <c r="D20" s="5"/>
      <c r="E20" s="147" t="s">
        <v>103</v>
      </c>
      <c r="F20" s="5"/>
      <c r="G20" s="147" t="s">
        <v>103</v>
      </c>
      <c r="H20" s="5"/>
      <c r="I20" s="147" t="s">
        <v>103</v>
      </c>
      <c r="J20" s="5"/>
      <c r="K20" s="12"/>
      <c r="L20" s="29"/>
      <c r="M20" s="13"/>
      <c r="N20" s="13"/>
      <c r="O20" s="13"/>
      <c r="P20" s="13"/>
    </row>
    <row r="21">
      <c r="A21" s="149">
        <v>14.0</v>
      </c>
      <c r="B21" s="201" t="s">
        <v>202</v>
      </c>
      <c r="C21" s="150">
        <v>0.35625</v>
      </c>
      <c r="D21" s="5"/>
      <c r="E21" s="150">
        <v>0.49722222222222223</v>
      </c>
      <c r="F21" s="5"/>
      <c r="G21" s="150">
        <v>0.5423611111111111</v>
      </c>
      <c r="H21" s="5"/>
      <c r="I21" s="150">
        <v>0.7458333333333333</v>
      </c>
      <c r="J21" s="5"/>
      <c r="K21" s="12"/>
      <c r="L21" s="29">
        <v>-9.0</v>
      </c>
      <c r="M21" s="13"/>
      <c r="N21" s="13"/>
      <c r="O21" s="13"/>
      <c r="P21" s="13"/>
    </row>
    <row r="22">
      <c r="A22" s="149">
        <v>15.0</v>
      </c>
      <c r="B22" s="199" t="s">
        <v>58</v>
      </c>
      <c r="C22" s="150">
        <v>0.34791666666666665</v>
      </c>
      <c r="D22" s="5"/>
      <c r="E22" s="151">
        <v>0.55</v>
      </c>
      <c r="F22" s="5"/>
      <c r="G22" s="151">
        <v>0.59375</v>
      </c>
      <c r="H22" s="5"/>
      <c r="I22" s="150">
        <v>0.7465277777777778</v>
      </c>
      <c r="J22" s="5"/>
      <c r="K22" s="12"/>
      <c r="L22" s="29">
        <v>6.0</v>
      </c>
      <c r="M22" s="29"/>
      <c r="N22" s="31"/>
      <c r="O22" s="29"/>
      <c r="P22" s="13"/>
    </row>
    <row r="23">
      <c r="A23" s="149">
        <v>16.0</v>
      </c>
      <c r="B23" s="200" t="s">
        <v>18</v>
      </c>
      <c r="C23" s="202" t="s">
        <v>78</v>
      </c>
      <c r="D23" s="15"/>
      <c r="E23" s="15"/>
      <c r="F23" s="15"/>
      <c r="G23" s="15"/>
      <c r="H23" s="15"/>
      <c r="I23" s="15"/>
      <c r="J23" s="5"/>
      <c r="K23" s="12"/>
      <c r="L23" s="29"/>
      <c r="M23" s="13"/>
      <c r="N23" s="13"/>
      <c r="O23" s="13"/>
      <c r="P23" s="13"/>
    </row>
    <row r="24">
      <c r="A24" s="149">
        <v>17.0</v>
      </c>
      <c r="B24" s="201" t="s">
        <v>19</v>
      </c>
      <c r="C24" s="150">
        <v>0.35</v>
      </c>
      <c r="D24" s="5"/>
      <c r="E24" s="150">
        <v>0.5527777777777778</v>
      </c>
      <c r="F24" s="5"/>
      <c r="G24" s="150">
        <v>0.5986111111111111</v>
      </c>
      <c r="H24" s="5"/>
      <c r="I24" s="150">
        <v>0.7486111111111111</v>
      </c>
      <c r="J24" s="5"/>
      <c r="K24" s="12"/>
      <c r="L24" s="29">
        <v>0.0</v>
      </c>
      <c r="M24" s="95"/>
      <c r="N24" s="93" t="s">
        <v>190</v>
      </c>
      <c r="O24" s="93">
        <v>-38.0</v>
      </c>
      <c r="P24" s="93">
        <v>39.0</v>
      </c>
      <c r="S24" s="142" t="s">
        <v>106</v>
      </c>
    </row>
    <row r="25">
      <c r="A25" s="149">
        <v>18.0</v>
      </c>
      <c r="B25" s="199" t="s">
        <v>20</v>
      </c>
      <c r="C25" s="150">
        <v>0.35</v>
      </c>
      <c r="D25" s="5"/>
      <c r="E25" s="150">
        <v>0.5638888888888889</v>
      </c>
      <c r="F25" s="5"/>
      <c r="G25" s="150">
        <v>0.6097222222222223</v>
      </c>
      <c r="H25" s="5"/>
      <c r="I25" s="150">
        <v>0.7430555555555556</v>
      </c>
      <c r="J25" s="5"/>
      <c r="K25" s="12"/>
      <c r="L25" s="29">
        <v>0.0</v>
      </c>
      <c r="M25" s="13"/>
      <c r="N25" s="13"/>
      <c r="O25" s="13"/>
      <c r="P25" s="13"/>
    </row>
    <row r="26">
      <c r="A26" s="149">
        <v>19.0</v>
      </c>
      <c r="B26" s="200" t="s">
        <v>21</v>
      </c>
      <c r="C26" s="147" t="s">
        <v>103</v>
      </c>
      <c r="D26" s="5"/>
      <c r="E26" s="147" t="s">
        <v>103</v>
      </c>
      <c r="F26" s="5"/>
      <c r="G26" s="147" t="s">
        <v>103</v>
      </c>
      <c r="H26" s="5"/>
      <c r="I26" s="147" t="s">
        <v>103</v>
      </c>
      <c r="J26" s="5"/>
      <c r="K26" s="40"/>
      <c r="L26" s="29"/>
      <c r="M26" s="29"/>
      <c r="N26" s="31"/>
      <c r="O26" s="29"/>
      <c r="P26" s="29"/>
    </row>
    <row r="27">
      <c r="A27" s="149">
        <v>20.0</v>
      </c>
      <c r="B27" s="200" t="s">
        <v>23</v>
      </c>
      <c r="C27" s="150"/>
      <c r="D27" s="5"/>
      <c r="E27" s="150"/>
      <c r="F27" s="5"/>
      <c r="G27" s="150"/>
      <c r="H27" s="5"/>
      <c r="I27" s="150"/>
      <c r="J27" s="5"/>
      <c r="K27" s="12"/>
      <c r="L27" s="29"/>
      <c r="M27" s="13"/>
      <c r="N27" s="13"/>
      <c r="O27" s="13"/>
      <c r="P27" s="13"/>
    </row>
    <row r="28">
      <c r="A28" s="149">
        <v>21.0</v>
      </c>
      <c r="B28" s="199" t="s">
        <v>202</v>
      </c>
      <c r="C28" s="150">
        <v>0.3486111111111111</v>
      </c>
      <c r="D28" s="5"/>
      <c r="E28" s="150">
        <v>0.5534722222222223</v>
      </c>
      <c r="F28" s="5"/>
      <c r="G28" s="150">
        <v>0.5993055555555555</v>
      </c>
      <c r="H28" s="5"/>
      <c r="I28" s="150">
        <v>0.7472222222222222</v>
      </c>
      <c r="J28" s="5"/>
      <c r="K28" s="12"/>
      <c r="L28" s="29">
        <v>0.0</v>
      </c>
      <c r="M28" s="13"/>
      <c r="N28" s="13"/>
      <c r="O28" s="13"/>
      <c r="P28" s="13"/>
    </row>
    <row r="29">
      <c r="A29" s="149">
        <v>22.0</v>
      </c>
      <c r="B29" s="200" t="s">
        <v>58</v>
      </c>
      <c r="C29" s="151">
        <v>0.34652777777777777</v>
      </c>
      <c r="D29" s="5"/>
      <c r="E29" s="151">
        <v>0.5541666666666667</v>
      </c>
      <c r="F29" s="5"/>
      <c r="G29" s="151">
        <v>0.5993055555555555</v>
      </c>
      <c r="H29" s="5"/>
      <c r="I29" s="151">
        <v>0.75</v>
      </c>
      <c r="J29" s="5"/>
      <c r="K29" s="12"/>
      <c r="L29" s="29">
        <v>11.0</v>
      </c>
      <c r="M29" s="13"/>
      <c r="N29" s="13"/>
      <c r="O29" s="13"/>
      <c r="P29" s="13"/>
    </row>
    <row r="30">
      <c r="A30" s="149">
        <v>23.0</v>
      </c>
      <c r="B30" s="200" t="s">
        <v>18</v>
      </c>
      <c r="C30" s="151">
        <v>0.3486111111111111</v>
      </c>
      <c r="D30" s="5"/>
      <c r="E30" s="151">
        <v>0.5576388888888889</v>
      </c>
      <c r="F30" s="5"/>
      <c r="G30" s="151">
        <v>0.6034722222222222</v>
      </c>
      <c r="H30" s="5"/>
      <c r="I30" s="151">
        <v>0.7451388888888889</v>
      </c>
      <c r="J30" s="5"/>
      <c r="K30" s="12"/>
      <c r="L30" s="29">
        <v>0.0</v>
      </c>
      <c r="M30" s="13"/>
      <c r="N30" s="13"/>
      <c r="O30" s="13"/>
      <c r="P30" s="13"/>
    </row>
    <row r="31">
      <c r="A31" s="149">
        <v>24.0</v>
      </c>
      <c r="B31" s="199" t="s">
        <v>19</v>
      </c>
      <c r="C31" s="151">
        <v>0.34930555555555554</v>
      </c>
      <c r="D31" s="5"/>
      <c r="E31" s="150">
        <v>0.5423611111111111</v>
      </c>
      <c r="F31" s="5"/>
      <c r="G31" s="150">
        <v>0.5875</v>
      </c>
      <c r="H31" s="5"/>
      <c r="I31" s="150">
        <v>0.7472222222222222</v>
      </c>
      <c r="J31" s="5"/>
      <c r="K31" s="12"/>
      <c r="L31" s="29">
        <v>0.0</v>
      </c>
      <c r="M31" s="13"/>
      <c r="N31" s="13"/>
      <c r="O31" s="13"/>
      <c r="P31" s="13"/>
    </row>
    <row r="32">
      <c r="A32" s="149">
        <v>25.0</v>
      </c>
      <c r="B32" s="200" t="s">
        <v>20</v>
      </c>
      <c r="C32" s="150">
        <v>0.3486111111111111</v>
      </c>
      <c r="D32" s="5"/>
      <c r="E32" s="150">
        <v>0.5493055555555556</v>
      </c>
      <c r="F32" s="5"/>
      <c r="G32" s="150">
        <v>0.5944444444444444</v>
      </c>
      <c r="H32" s="5"/>
      <c r="I32" s="150">
        <v>0.7458333333333333</v>
      </c>
      <c r="J32" s="5"/>
      <c r="K32" s="12"/>
      <c r="L32" s="29"/>
      <c r="M32" s="95"/>
      <c r="N32" s="93" t="s">
        <v>190</v>
      </c>
      <c r="O32" s="93">
        <v>-38.0</v>
      </c>
      <c r="P32" s="93">
        <v>50.0</v>
      </c>
      <c r="S32" s="142" t="s">
        <v>106</v>
      </c>
    </row>
    <row r="33">
      <c r="A33" s="149">
        <v>26.0</v>
      </c>
      <c r="B33" s="200" t="s">
        <v>21</v>
      </c>
      <c r="C33" s="147" t="s">
        <v>103</v>
      </c>
      <c r="D33" s="5"/>
      <c r="E33" s="147" t="s">
        <v>103</v>
      </c>
      <c r="F33" s="5"/>
      <c r="G33" s="147" t="s">
        <v>103</v>
      </c>
      <c r="H33" s="5"/>
      <c r="I33" s="147" t="s">
        <v>103</v>
      </c>
      <c r="J33" s="5"/>
      <c r="K33" s="12"/>
      <c r="L33" s="29"/>
      <c r="M33" s="29"/>
      <c r="N33" s="29"/>
      <c r="O33" s="35"/>
      <c r="P33" s="13"/>
    </row>
    <row r="34">
      <c r="A34" s="149">
        <v>27.0</v>
      </c>
      <c r="B34" s="203" t="s">
        <v>29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12"/>
      <c r="L34" s="29"/>
      <c r="M34" s="29"/>
      <c r="N34" s="29"/>
      <c r="O34" s="35"/>
      <c r="P34" s="44"/>
      <c r="Q34" s="44"/>
      <c r="R34" s="44"/>
      <c r="S34" s="44"/>
      <c r="T34" s="45"/>
      <c r="U34" s="44"/>
      <c r="V34" s="13"/>
    </row>
    <row r="35">
      <c r="A35" s="149">
        <v>28.0</v>
      </c>
      <c r="B35" s="200" t="s">
        <v>202</v>
      </c>
      <c r="C35" s="151">
        <v>0.34791666666666665</v>
      </c>
      <c r="D35" s="5"/>
      <c r="E35" s="151">
        <v>0.5486111111111112</v>
      </c>
      <c r="F35" s="5"/>
      <c r="G35" s="151">
        <v>0.5944444444444444</v>
      </c>
      <c r="H35" s="5"/>
      <c r="I35" s="151">
        <v>0.7465277777777778</v>
      </c>
      <c r="J35" s="5"/>
      <c r="K35" s="13"/>
      <c r="L35" s="29">
        <v>0.0</v>
      </c>
      <c r="M35" s="46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49">
        <v>29.0</v>
      </c>
      <c r="B36" s="200" t="s">
        <v>58</v>
      </c>
      <c r="C36" s="151">
        <v>0.3472222222222222</v>
      </c>
      <c r="D36" s="5"/>
      <c r="E36" s="150">
        <v>0.5409722222222222</v>
      </c>
      <c r="F36" s="5"/>
      <c r="G36" s="150">
        <v>0.5868055555555556</v>
      </c>
      <c r="H36" s="5"/>
      <c r="I36" s="150">
        <v>0.7479166666666667</v>
      </c>
      <c r="J36" s="5"/>
      <c r="K36" s="12"/>
      <c r="L36" s="29">
        <v>6.0</v>
      </c>
      <c r="M36" s="13"/>
      <c r="N36" s="13"/>
      <c r="O36" s="13"/>
      <c r="P36" s="13"/>
    </row>
    <row r="37">
      <c r="A37" s="163">
        <v>30.0</v>
      </c>
      <c r="B37" s="200" t="s">
        <v>18</v>
      </c>
      <c r="C37" s="151">
        <v>0.34791666666666665</v>
      </c>
      <c r="D37" s="5"/>
      <c r="E37" s="151">
        <v>0.5555555555555556</v>
      </c>
      <c r="F37" s="5"/>
      <c r="G37" s="151">
        <v>0.6020833333333333</v>
      </c>
      <c r="H37" s="5"/>
      <c r="I37" s="151">
        <v>0.7458333333333333</v>
      </c>
      <c r="J37" s="5"/>
      <c r="K37" s="12"/>
      <c r="L37" s="29">
        <v>0.0</v>
      </c>
      <c r="M37" s="95"/>
      <c r="N37" s="93" t="s">
        <v>190</v>
      </c>
      <c r="O37" s="93">
        <v>-38.0</v>
      </c>
      <c r="P37" s="93">
        <v>56.0</v>
      </c>
    </row>
    <row r="38">
      <c r="A38" s="163">
        <v>31.0</v>
      </c>
      <c r="B38" s="200" t="s">
        <v>19</v>
      </c>
      <c r="C38" s="151">
        <v>0.35</v>
      </c>
      <c r="D38" s="5"/>
      <c r="E38" s="150">
        <v>0.5597222222222222</v>
      </c>
      <c r="F38" s="5"/>
      <c r="G38" s="150">
        <v>0.6083333333333333</v>
      </c>
      <c r="H38" s="5"/>
      <c r="I38" s="150">
        <v>0.7534722222222222</v>
      </c>
      <c r="J38" s="5"/>
      <c r="K38" s="12"/>
      <c r="L38" s="29">
        <v>11.0</v>
      </c>
      <c r="M38" s="29"/>
      <c r="N38" s="31"/>
      <c r="O38" s="29">
        <v>-38.0</v>
      </c>
      <c r="P38" s="35">
        <v>0.04652777777777778</v>
      </c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12"/>
      <c r="L39" s="13"/>
      <c r="M39" s="13"/>
      <c r="N39" s="13"/>
      <c r="O39" s="13"/>
      <c r="P39" s="13"/>
    </row>
    <row r="40">
      <c r="A40" s="107" t="s">
        <v>222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41"/>
    </row>
    <row r="41">
      <c r="A41" s="107" t="s">
        <v>223</v>
      </c>
      <c r="B41" s="15"/>
      <c r="C41" s="15"/>
      <c r="D41" s="15"/>
      <c r="E41" s="15"/>
      <c r="F41" s="15"/>
      <c r="G41" s="15"/>
      <c r="H41" s="15"/>
      <c r="I41" s="15"/>
      <c r="J41" s="5"/>
      <c r="K41" s="6"/>
    </row>
    <row r="42">
      <c r="A42" s="132" t="s">
        <v>224</v>
      </c>
      <c r="B42" s="3"/>
      <c r="C42" s="3"/>
      <c r="D42" s="3"/>
      <c r="E42" s="3"/>
      <c r="F42" s="3"/>
      <c r="G42" s="3"/>
      <c r="H42" s="3"/>
      <c r="I42" s="3"/>
      <c r="J42" s="2"/>
      <c r="K42" s="6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44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C26:D26"/>
    <mergeCell ref="E26:F26"/>
    <mergeCell ref="C27:D27"/>
    <mergeCell ref="E27:F27"/>
    <mergeCell ref="G27:H27"/>
    <mergeCell ref="I27:J27"/>
    <mergeCell ref="E28:F28"/>
    <mergeCell ref="G28:H28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5:E45"/>
    <mergeCell ref="F45:G45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E24:F24"/>
    <mergeCell ref="G24:H24"/>
    <mergeCell ref="C21:D21"/>
    <mergeCell ref="C22:D22"/>
    <mergeCell ref="E22:F22"/>
    <mergeCell ref="G22:H22"/>
    <mergeCell ref="I22:J22"/>
    <mergeCell ref="C23:J23"/>
    <mergeCell ref="I24:J24"/>
    <mergeCell ref="G26:H26"/>
    <mergeCell ref="I26:J26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9.75"/>
    <col customWidth="1" min="16" max="16" width="9.5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</row>
    <row r="4">
      <c r="A4" s="66" t="s">
        <v>5</v>
      </c>
      <c r="B4" s="67" t="s">
        <v>181</v>
      </c>
      <c r="C4" s="15"/>
      <c r="D4" s="15"/>
      <c r="E4" s="15"/>
      <c r="F4" s="15"/>
      <c r="G4" s="68"/>
      <c r="H4" s="3"/>
      <c r="I4" s="68"/>
      <c r="J4" s="69"/>
      <c r="K4" s="6"/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221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12"/>
      <c r="L7" s="13"/>
      <c r="M7" s="13"/>
      <c r="N7" s="13"/>
      <c r="O7" s="13"/>
      <c r="P7" s="13"/>
      <c r="Q7" s="13"/>
    </row>
    <row r="8">
      <c r="A8" s="148">
        <v>1.0</v>
      </c>
      <c r="B8" s="199" t="s">
        <v>58</v>
      </c>
      <c r="C8" s="151">
        <v>0.34930555555555554</v>
      </c>
      <c r="D8" s="5"/>
      <c r="E8" s="151">
        <v>0.5409722222222222</v>
      </c>
      <c r="F8" s="5"/>
      <c r="G8" s="151">
        <v>0.5833333333333334</v>
      </c>
      <c r="H8" s="5"/>
      <c r="I8" s="151">
        <v>0.7451388888888889</v>
      </c>
      <c r="J8" s="5"/>
      <c r="K8" s="12"/>
      <c r="L8" s="29">
        <v>0.0</v>
      </c>
      <c r="M8" s="29">
        <v>30.0</v>
      </c>
      <c r="N8" s="13"/>
      <c r="O8" s="13"/>
      <c r="P8" s="13"/>
      <c r="Q8" s="13"/>
      <c r="R8" s="13"/>
    </row>
    <row r="9">
      <c r="A9" s="149">
        <v>2.0</v>
      </c>
      <c r="B9" s="200" t="s">
        <v>18</v>
      </c>
      <c r="C9" s="151">
        <v>0.34930555555555554</v>
      </c>
      <c r="D9" s="5"/>
      <c r="E9" s="151">
        <v>0.5409722222222222</v>
      </c>
      <c r="F9" s="5"/>
      <c r="G9" s="151">
        <v>0.5819444444444445</v>
      </c>
      <c r="H9" s="5"/>
      <c r="I9" s="181" t="s">
        <v>103</v>
      </c>
      <c r="J9" s="5"/>
      <c r="K9" s="86"/>
      <c r="L9" s="29">
        <v>0.0</v>
      </c>
      <c r="M9" s="29">
        <v>30.0</v>
      </c>
      <c r="N9" s="13"/>
      <c r="O9" s="13"/>
      <c r="P9" s="13"/>
      <c r="Q9" s="13"/>
      <c r="R9" s="13"/>
    </row>
    <row r="10">
      <c r="A10" s="149">
        <v>3.0</v>
      </c>
      <c r="B10" s="201" t="s">
        <v>19</v>
      </c>
      <c r="C10" s="150">
        <v>0.3472222222222222</v>
      </c>
      <c r="D10" s="5"/>
      <c r="E10" s="150">
        <v>0.5423611111111111</v>
      </c>
      <c r="F10" s="5"/>
      <c r="G10" s="150">
        <v>0.5826388888888889</v>
      </c>
      <c r="H10" s="5"/>
      <c r="I10" s="150">
        <v>0.7465277777777778</v>
      </c>
      <c r="J10" s="5"/>
      <c r="K10" s="12"/>
      <c r="L10" s="29">
        <v>0.0</v>
      </c>
      <c r="M10" s="29">
        <v>30.0</v>
      </c>
      <c r="N10" s="13"/>
      <c r="O10" s="13"/>
      <c r="P10" s="13"/>
      <c r="Q10" s="13"/>
      <c r="R10" s="13"/>
    </row>
    <row r="11">
      <c r="A11" s="149">
        <v>4.0</v>
      </c>
      <c r="B11" s="199" t="s">
        <v>20</v>
      </c>
      <c r="C11" s="147" t="s">
        <v>103</v>
      </c>
      <c r="D11" s="5"/>
      <c r="E11" s="150">
        <v>0.5409722222222222</v>
      </c>
      <c r="F11" s="5"/>
      <c r="G11" s="150">
        <v>0.5826388888888889</v>
      </c>
      <c r="H11" s="5"/>
      <c r="I11" s="150">
        <v>0.7472222222222222</v>
      </c>
      <c r="J11" s="5"/>
      <c r="K11" s="12"/>
      <c r="L11" s="29">
        <v>0.0</v>
      </c>
      <c r="M11" s="29">
        <v>30.0</v>
      </c>
      <c r="N11" s="13"/>
      <c r="O11" s="13"/>
      <c r="P11" s="13"/>
      <c r="Q11" s="13"/>
      <c r="R11" s="13"/>
    </row>
    <row r="12">
      <c r="A12" s="149">
        <v>5.0</v>
      </c>
      <c r="B12" s="201" t="s">
        <v>21</v>
      </c>
      <c r="C12" s="150">
        <v>0.33125</v>
      </c>
      <c r="D12" s="5"/>
      <c r="E12" s="147" t="s">
        <v>103</v>
      </c>
      <c r="F12" s="5"/>
      <c r="G12" s="147" t="s">
        <v>103</v>
      </c>
      <c r="H12" s="5"/>
      <c r="I12" s="150">
        <v>0.5013888888888889</v>
      </c>
      <c r="J12" s="5"/>
      <c r="K12" s="12"/>
      <c r="L12" s="29"/>
      <c r="M12" s="29"/>
      <c r="N12" s="13"/>
      <c r="O12" s="13"/>
      <c r="P12" s="13"/>
      <c r="Q12" s="13"/>
      <c r="R12" s="13"/>
    </row>
    <row r="13">
      <c r="A13" s="149">
        <v>6.0</v>
      </c>
      <c r="B13" s="201" t="s">
        <v>29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12"/>
      <c r="L13" s="29"/>
      <c r="M13" s="29"/>
      <c r="N13" s="29"/>
      <c r="O13" s="37"/>
      <c r="P13" s="35"/>
      <c r="Q13" s="29"/>
      <c r="R13" s="13"/>
    </row>
    <row r="14">
      <c r="A14" s="149">
        <v>7.0</v>
      </c>
      <c r="B14" s="201" t="s">
        <v>202</v>
      </c>
      <c r="C14" s="150">
        <v>0.3506944444444444</v>
      </c>
      <c r="D14" s="5"/>
      <c r="E14" s="150">
        <v>0.5409722222222222</v>
      </c>
      <c r="F14" s="5"/>
      <c r="G14" s="150">
        <v>0.5826388888888889</v>
      </c>
      <c r="H14" s="5"/>
      <c r="I14" s="150">
        <v>0.7451388888888889</v>
      </c>
      <c r="J14" s="5"/>
      <c r="K14" s="12"/>
      <c r="L14" s="29">
        <v>0.0</v>
      </c>
      <c r="M14" s="29">
        <v>30.0</v>
      </c>
      <c r="N14" s="13"/>
      <c r="O14" s="13"/>
      <c r="P14" s="13"/>
      <c r="Q14" s="13"/>
      <c r="R14" s="13"/>
    </row>
    <row r="15">
      <c r="A15" s="149">
        <v>8.0</v>
      </c>
      <c r="B15" s="199" t="s">
        <v>58</v>
      </c>
      <c r="C15" s="150">
        <v>0.35</v>
      </c>
      <c r="D15" s="5"/>
      <c r="E15" s="151">
        <v>0.5402777777777777</v>
      </c>
      <c r="F15" s="5"/>
      <c r="G15" s="151">
        <v>0.5819444444444445</v>
      </c>
      <c r="H15" s="5"/>
      <c r="I15" s="151">
        <v>0.7423611111111111</v>
      </c>
      <c r="J15" s="5"/>
      <c r="K15" s="12"/>
      <c r="L15" s="29">
        <v>0.0</v>
      </c>
      <c r="M15" s="29">
        <v>30.0</v>
      </c>
      <c r="N15" s="93" t="s">
        <v>190</v>
      </c>
      <c r="O15" s="95"/>
      <c r="P15" s="94">
        <v>0.125</v>
      </c>
      <c r="Q15" s="95"/>
      <c r="R15" s="13"/>
    </row>
    <row r="16">
      <c r="A16" s="149">
        <v>9.0</v>
      </c>
      <c r="B16" s="200" t="s">
        <v>18</v>
      </c>
      <c r="C16" s="151">
        <v>0.3458333333333333</v>
      </c>
      <c r="D16" s="5"/>
      <c r="E16" s="151">
        <v>0.5409722222222222</v>
      </c>
      <c r="F16" s="5"/>
      <c r="G16" s="151">
        <v>0.5826388888888889</v>
      </c>
      <c r="H16" s="5"/>
      <c r="I16" s="151">
        <v>0.74375</v>
      </c>
      <c r="J16" s="5"/>
      <c r="K16" s="12"/>
      <c r="L16" s="29">
        <v>0.0</v>
      </c>
      <c r="M16" s="29">
        <v>30.0</v>
      </c>
      <c r="N16" s="13"/>
      <c r="O16" s="13"/>
      <c r="P16" s="13"/>
      <c r="Q16" s="13"/>
      <c r="R16" s="13"/>
    </row>
    <row r="17">
      <c r="A17" s="149">
        <v>10.0</v>
      </c>
      <c r="B17" s="201" t="s">
        <v>19</v>
      </c>
      <c r="C17" s="150">
        <v>0.35138888888888886</v>
      </c>
      <c r="D17" s="5"/>
      <c r="E17" s="150">
        <v>0.5409722222222222</v>
      </c>
      <c r="F17" s="5"/>
      <c r="G17" s="150">
        <v>0.5826388888888889</v>
      </c>
      <c r="H17" s="5"/>
      <c r="I17" s="150">
        <v>0.7423611111111111</v>
      </c>
      <c r="J17" s="5"/>
      <c r="K17" s="12"/>
      <c r="L17" s="29">
        <v>-7.0</v>
      </c>
      <c r="M17" s="29">
        <v>30.0</v>
      </c>
      <c r="N17" s="13"/>
      <c r="O17" s="13"/>
      <c r="P17" s="13"/>
      <c r="Q17" s="13"/>
      <c r="R17" s="13"/>
    </row>
    <row r="18">
      <c r="A18" s="149">
        <v>11.0</v>
      </c>
      <c r="B18" s="199" t="s">
        <v>20</v>
      </c>
      <c r="C18" s="150">
        <v>0.34930555555555554</v>
      </c>
      <c r="D18" s="5"/>
      <c r="E18" s="150">
        <v>0.5416666666666666</v>
      </c>
      <c r="F18" s="5"/>
      <c r="G18" s="150">
        <v>0.5819444444444445</v>
      </c>
      <c r="H18" s="5"/>
      <c r="I18" s="150">
        <v>0.7416666666666667</v>
      </c>
      <c r="J18" s="5"/>
      <c r="K18" s="12"/>
      <c r="L18" s="29">
        <v>-3.0</v>
      </c>
      <c r="M18" s="29">
        <v>30.0</v>
      </c>
      <c r="N18" s="13"/>
      <c r="O18" s="35"/>
      <c r="P18" s="13"/>
      <c r="Q18" s="13"/>
      <c r="R18" s="13"/>
    </row>
    <row r="19">
      <c r="A19" s="149">
        <v>12.0</v>
      </c>
      <c r="B19" s="200" t="s">
        <v>21</v>
      </c>
      <c r="C19" s="150">
        <v>0.32916666666666666</v>
      </c>
      <c r="D19" s="5"/>
      <c r="E19" s="147" t="s">
        <v>103</v>
      </c>
      <c r="F19" s="5"/>
      <c r="G19" s="147" t="s">
        <v>103</v>
      </c>
      <c r="H19" s="5"/>
      <c r="I19" s="150">
        <v>0.5</v>
      </c>
      <c r="J19" s="5"/>
      <c r="K19" s="12"/>
      <c r="L19" s="29">
        <v>6.0</v>
      </c>
      <c r="M19" s="29"/>
      <c r="N19" s="29"/>
      <c r="O19" s="37"/>
      <c r="P19" s="35"/>
      <c r="Q19" s="13"/>
      <c r="R19" s="13"/>
    </row>
    <row r="20">
      <c r="A20" s="149">
        <v>13.0</v>
      </c>
      <c r="B20" s="200" t="s">
        <v>23</v>
      </c>
      <c r="C20" s="147" t="s">
        <v>103</v>
      </c>
      <c r="D20" s="5"/>
      <c r="E20" s="147" t="s">
        <v>103</v>
      </c>
      <c r="F20" s="5"/>
      <c r="G20" s="147" t="s">
        <v>103</v>
      </c>
      <c r="H20" s="5"/>
      <c r="I20" s="147" t="s">
        <v>103</v>
      </c>
      <c r="J20" s="5"/>
      <c r="K20" s="12"/>
      <c r="L20" s="29"/>
      <c r="M20" s="29"/>
      <c r="N20" s="13"/>
      <c r="O20" s="13"/>
      <c r="P20" s="13"/>
      <c r="Q20" s="13"/>
      <c r="R20" s="13"/>
    </row>
    <row r="21">
      <c r="A21" s="149">
        <v>14.0</v>
      </c>
      <c r="B21" s="201" t="s">
        <v>202</v>
      </c>
      <c r="C21" s="150">
        <v>0.35625</v>
      </c>
      <c r="D21" s="5"/>
      <c r="E21" s="150">
        <v>0.5402777777777777</v>
      </c>
      <c r="F21" s="5"/>
      <c r="G21" s="150">
        <v>0.61875</v>
      </c>
      <c r="H21" s="5"/>
      <c r="I21" s="150">
        <v>0.7458333333333333</v>
      </c>
      <c r="J21" s="5"/>
      <c r="K21" s="46"/>
      <c r="L21" s="37">
        <v>-0.043055555555555555</v>
      </c>
      <c r="M21" s="29">
        <v>30.0</v>
      </c>
      <c r="N21" s="13"/>
      <c r="O21" s="13"/>
      <c r="P21" s="13"/>
      <c r="Q21" s="13"/>
      <c r="R21" s="13"/>
    </row>
    <row r="22">
      <c r="A22" s="149">
        <v>15.0</v>
      </c>
      <c r="B22" s="199" t="s">
        <v>58</v>
      </c>
      <c r="C22" s="150">
        <v>0.34791666666666665</v>
      </c>
      <c r="D22" s="5"/>
      <c r="E22" s="151">
        <v>0.5409722222222222</v>
      </c>
      <c r="F22" s="5"/>
      <c r="G22" s="151">
        <v>0.5819444444444445</v>
      </c>
      <c r="H22" s="5"/>
      <c r="I22" s="150">
        <v>0.7465277777777778</v>
      </c>
      <c r="J22" s="5"/>
      <c r="K22" s="12"/>
      <c r="L22" s="29">
        <v>0.0</v>
      </c>
      <c r="M22" s="29">
        <v>30.0</v>
      </c>
      <c r="N22" s="29"/>
      <c r="O22" s="31"/>
      <c r="P22" s="35"/>
      <c r="Q22" s="13"/>
      <c r="R22" s="13"/>
    </row>
    <row r="23">
      <c r="A23" s="149">
        <v>16.0</v>
      </c>
      <c r="B23" s="200" t="s">
        <v>18</v>
      </c>
      <c r="C23" s="202" t="s">
        <v>78</v>
      </c>
      <c r="D23" s="15"/>
      <c r="E23" s="15"/>
      <c r="F23" s="15"/>
      <c r="G23" s="15"/>
      <c r="H23" s="15"/>
      <c r="I23" s="15"/>
      <c r="J23" s="5"/>
      <c r="K23" s="12"/>
      <c r="L23" s="29"/>
      <c r="M23" s="29"/>
      <c r="N23" s="13"/>
      <c r="O23" s="13"/>
      <c r="P23" s="13"/>
      <c r="Q23" s="13"/>
      <c r="R23" s="13"/>
    </row>
    <row r="24">
      <c r="A24" s="149">
        <v>17.0</v>
      </c>
      <c r="B24" s="201" t="s">
        <v>19</v>
      </c>
      <c r="C24" s="150">
        <v>0.35</v>
      </c>
      <c r="D24" s="5"/>
      <c r="E24" s="150">
        <v>0.5409722222222222</v>
      </c>
      <c r="F24" s="5"/>
      <c r="G24" s="150">
        <v>0.5819444444444445</v>
      </c>
      <c r="H24" s="5"/>
      <c r="I24" s="150">
        <v>0.7444444444444445</v>
      </c>
      <c r="J24" s="5"/>
      <c r="K24" s="12"/>
      <c r="L24" s="29">
        <v>0.0</v>
      </c>
      <c r="M24" s="29">
        <v>30.0</v>
      </c>
      <c r="N24" s="93" t="s">
        <v>190</v>
      </c>
      <c r="O24" s="95"/>
      <c r="P24" s="94">
        <v>0.25416666666666665</v>
      </c>
      <c r="Q24" s="93" t="s">
        <v>225</v>
      </c>
      <c r="R24" s="29" t="s">
        <v>106</v>
      </c>
    </row>
    <row r="25">
      <c r="A25" s="149">
        <v>18.0</v>
      </c>
      <c r="B25" s="199" t="s">
        <v>20</v>
      </c>
      <c r="C25" s="150">
        <v>0.3506944444444444</v>
      </c>
      <c r="D25" s="5"/>
      <c r="E25" s="150">
        <v>0.5416666666666666</v>
      </c>
      <c r="F25" s="5"/>
      <c r="G25" s="150">
        <v>0.5819444444444445</v>
      </c>
      <c r="H25" s="5"/>
      <c r="I25" s="150">
        <v>0.7402777777777778</v>
      </c>
      <c r="J25" s="5"/>
      <c r="K25" s="38"/>
      <c r="L25" s="29">
        <v>-7.0</v>
      </c>
      <c r="M25" s="29">
        <v>30.0</v>
      </c>
      <c r="N25" s="29"/>
      <c r="O25" s="37"/>
      <c r="P25" s="35"/>
      <c r="Q25" s="13"/>
      <c r="R25" s="13"/>
    </row>
    <row r="26">
      <c r="A26" s="149">
        <v>19.0</v>
      </c>
      <c r="B26" s="200" t="s">
        <v>21</v>
      </c>
      <c r="C26" s="150">
        <v>0.3277777777777778</v>
      </c>
      <c r="D26" s="5"/>
      <c r="E26" s="147" t="s">
        <v>103</v>
      </c>
      <c r="F26" s="5"/>
      <c r="G26" s="147" t="s">
        <v>103</v>
      </c>
      <c r="H26" s="5"/>
      <c r="I26" s="150">
        <v>0.4965277777777778</v>
      </c>
      <c r="J26" s="5"/>
      <c r="K26" s="40"/>
      <c r="L26" s="29">
        <v>0.0</v>
      </c>
      <c r="M26" s="29"/>
      <c r="N26" s="29"/>
      <c r="O26" s="31"/>
      <c r="P26" s="35"/>
      <c r="Q26" s="13"/>
      <c r="R26" s="13"/>
    </row>
    <row r="27">
      <c r="A27" s="149">
        <v>20.0</v>
      </c>
      <c r="B27" s="200" t="s">
        <v>23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12"/>
      <c r="L27" s="29"/>
      <c r="M27" s="29"/>
      <c r="N27" s="13"/>
      <c r="O27" s="13"/>
      <c r="P27" s="13"/>
      <c r="Q27" s="13"/>
      <c r="R27" s="29"/>
    </row>
    <row r="28">
      <c r="A28" s="149">
        <v>21.0</v>
      </c>
      <c r="B28" s="199" t="s">
        <v>202</v>
      </c>
      <c r="C28" s="147" t="s">
        <v>107</v>
      </c>
      <c r="D28" s="15"/>
      <c r="E28" s="15"/>
      <c r="F28" s="15"/>
      <c r="G28" s="15"/>
      <c r="H28" s="15"/>
      <c r="I28" s="15"/>
      <c r="J28" s="5"/>
      <c r="K28" s="12"/>
      <c r="L28" s="29" t="s">
        <v>163</v>
      </c>
      <c r="M28" s="29"/>
      <c r="N28" s="31"/>
      <c r="O28" s="191"/>
      <c r="P28" s="97"/>
      <c r="Q28" s="13"/>
      <c r="R28" s="13"/>
      <c r="T28" s="41"/>
    </row>
    <row r="29">
      <c r="A29" s="149">
        <v>22.0</v>
      </c>
      <c r="B29" s="200" t="s">
        <v>58</v>
      </c>
      <c r="C29" s="150">
        <v>0.34652777777777777</v>
      </c>
      <c r="D29" s="5"/>
      <c r="E29" s="150">
        <v>0.5416666666666666</v>
      </c>
      <c r="F29" s="5"/>
      <c r="G29" s="150">
        <v>0.5819444444444445</v>
      </c>
      <c r="H29" s="5"/>
      <c r="I29" s="150"/>
      <c r="J29" s="5"/>
      <c r="K29" s="12"/>
      <c r="L29" s="29">
        <v>0.0</v>
      </c>
      <c r="M29" s="29">
        <v>30.0</v>
      </c>
      <c r="N29" s="13"/>
      <c r="O29" s="13"/>
      <c r="P29" s="13"/>
      <c r="Q29" s="13"/>
      <c r="R29" s="13"/>
    </row>
    <row r="30">
      <c r="A30" s="149">
        <v>23.0</v>
      </c>
      <c r="B30" s="200" t="s">
        <v>18</v>
      </c>
      <c r="C30" s="151">
        <v>0.3486111111111111</v>
      </c>
      <c r="D30" s="5"/>
      <c r="E30" s="151">
        <v>0.5402777777777777</v>
      </c>
      <c r="F30" s="5"/>
      <c r="G30" s="151">
        <v>0.5819444444444445</v>
      </c>
      <c r="H30" s="5"/>
      <c r="I30" s="151">
        <v>0.7451388888888889</v>
      </c>
      <c r="J30" s="5"/>
      <c r="K30" s="12"/>
      <c r="L30" s="29">
        <v>0.0</v>
      </c>
      <c r="M30" s="29">
        <v>30.0</v>
      </c>
      <c r="N30" s="13"/>
      <c r="O30" s="13"/>
      <c r="P30" s="13"/>
      <c r="Q30" s="13"/>
      <c r="R30" s="13"/>
    </row>
    <row r="31">
      <c r="A31" s="149">
        <v>24.0</v>
      </c>
      <c r="B31" s="199" t="s">
        <v>19</v>
      </c>
      <c r="C31" s="150">
        <v>0.34930555555555554</v>
      </c>
      <c r="D31" s="5"/>
      <c r="E31" s="150">
        <v>0.5409722222222222</v>
      </c>
      <c r="F31" s="5"/>
      <c r="G31" s="150">
        <v>0.5826388888888889</v>
      </c>
      <c r="H31" s="5"/>
      <c r="I31" s="150">
        <v>0.74375</v>
      </c>
      <c r="J31" s="5"/>
      <c r="K31" s="12"/>
      <c r="L31" s="29">
        <v>0.0</v>
      </c>
      <c r="M31" s="29">
        <v>30.0</v>
      </c>
      <c r="N31" s="29"/>
      <c r="O31" s="31"/>
      <c r="P31" s="35"/>
      <c r="Q31" s="13"/>
      <c r="R31" s="13"/>
    </row>
    <row r="32">
      <c r="A32" s="149">
        <v>25.0</v>
      </c>
      <c r="B32" s="200" t="s">
        <v>20</v>
      </c>
      <c r="C32" s="150">
        <v>0.3486111111111111</v>
      </c>
      <c r="D32" s="5"/>
      <c r="E32" s="150">
        <v>0.5409722222222222</v>
      </c>
      <c r="F32" s="5"/>
      <c r="G32" s="150">
        <v>0.5826388888888889</v>
      </c>
      <c r="H32" s="5"/>
      <c r="I32" s="150">
        <v>0.7361111111111112</v>
      </c>
      <c r="J32" s="5"/>
      <c r="K32" s="12"/>
      <c r="L32" s="29">
        <v>-12.0</v>
      </c>
      <c r="M32" s="29">
        <v>30.0</v>
      </c>
      <c r="N32" s="93" t="s">
        <v>190</v>
      </c>
      <c r="O32" s="95"/>
      <c r="P32" s="94">
        <v>0.35833333333333334</v>
      </c>
      <c r="Q32" s="93" t="s">
        <v>226</v>
      </c>
      <c r="R32" s="29" t="s">
        <v>106</v>
      </c>
    </row>
    <row r="33">
      <c r="A33" s="149">
        <v>26.0</v>
      </c>
      <c r="B33" s="200" t="s">
        <v>21</v>
      </c>
      <c r="C33" s="150">
        <v>0.3284722222222222</v>
      </c>
      <c r="D33" s="5"/>
      <c r="E33" s="147" t="s">
        <v>103</v>
      </c>
      <c r="F33" s="5"/>
      <c r="G33" s="147" t="s">
        <v>103</v>
      </c>
      <c r="H33" s="5"/>
      <c r="I33" s="150">
        <v>0.4888888888888889</v>
      </c>
      <c r="J33" s="5"/>
      <c r="K33" s="46"/>
      <c r="L33" s="29">
        <v>-9.0</v>
      </c>
      <c r="M33" s="29"/>
      <c r="N33" s="29"/>
      <c r="O33" s="37"/>
      <c r="P33" s="35"/>
      <c r="Q33" s="13"/>
      <c r="R33" s="13"/>
    </row>
    <row r="34">
      <c r="A34" s="149">
        <v>27.0</v>
      </c>
      <c r="B34" s="200" t="s">
        <v>23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46"/>
      <c r="L34" s="29"/>
      <c r="M34" s="29"/>
      <c r="N34" s="13"/>
      <c r="O34" s="13"/>
      <c r="P34" s="13"/>
      <c r="Q34" s="13"/>
      <c r="R34" s="13"/>
    </row>
    <row r="35">
      <c r="A35" s="149">
        <v>28.0</v>
      </c>
      <c r="B35" s="199" t="s">
        <v>202</v>
      </c>
      <c r="C35" s="151">
        <v>0.34791666666666665</v>
      </c>
      <c r="D35" s="5"/>
      <c r="E35" s="151">
        <v>0.5416666666666666</v>
      </c>
      <c r="F35" s="5"/>
      <c r="G35" s="151">
        <v>0.5784722222222223</v>
      </c>
      <c r="H35" s="5"/>
      <c r="I35" s="151">
        <v>0.7465277777777778</v>
      </c>
      <c r="J35" s="5"/>
      <c r="K35" s="46"/>
      <c r="L35" s="29">
        <v>11.0</v>
      </c>
      <c r="M35" s="29">
        <v>30.0</v>
      </c>
      <c r="N35" s="29"/>
      <c r="O35" s="37"/>
      <c r="P35" s="35"/>
      <c r="Q35" s="13"/>
      <c r="R35" s="13"/>
    </row>
    <row r="36">
      <c r="A36" s="149">
        <v>29.0</v>
      </c>
      <c r="B36" s="200" t="s">
        <v>58</v>
      </c>
      <c r="C36" s="151">
        <v>0.3472222222222222</v>
      </c>
      <c r="D36" s="5"/>
      <c r="E36" s="151">
        <v>0.5409722222222222</v>
      </c>
      <c r="F36" s="5"/>
      <c r="G36" s="151">
        <v>0.5840277777777778</v>
      </c>
      <c r="H36" s="5"/>
      <c r="I36" s="151">
        <v>0.7472222222222222</v>
      </c>
      <c r="J36" s="5"/>
      <c r="K36" s="12"/>
      <c r="L36" s="29">
        <v>0.0</v>
      </c>
      <c r="M36" s="29">
        <v>30.0</v>
      </c>
      <c r="N36" s="29"/>
      <c r="O36" s="35"/>
      <c r="P36" s="13"/>
      <c r="Q36" s="13"/>
      <c r="R36" s="13"/>
    </row>
    <row r="37">
      <c r="A37" s="163">
        <v>30.0</v>
      </c>
      <c r="B37" s="200" t="s">
        <v>18</v>
      </c>
      <c r="C37" s="181" t="s">
        <v>103</v>
      </c>
      <c r="D37" s="5"/>
      <c r="E37" s="151">
        <v>0.5423611111111111</v>
      </c>
      <c r="F37" s="5"/>
      <c r="G37" s="151">
        <v>0.5833333333333334</v>
      </c>
      <c r="H37" s="5"/>
      <c r="I37" s="151">
        <v>0.7472222222222222</v>
      </c>
      <c r="J37" s="5"/>
      <c r="K37" s="12"/>
      <c r="L37" s="29">
        <v>0.0</v>
      </c>
      <c r="M37" s="29">
        <v>30.0</v>
      </c>
      <c r="N37" s="93" t="s">
        <v>190</v>
      </c>
      <c r="O37" s="95"/>
      <c r="P37" s="94">
        <v>0.4284722222222222</v>
      </c>
      <c r="Q37" s="189">
        <v>-0.4027777777777778</v>
      </c>
      <c r="R37" s="13"/>
    </row>
    <row r="38">
      <c r="A38" s="163">
        <v>31.0</v>
      </c>
      <c r="B38" s="199" t="s">
        <v>19</v>
      </c>
      <c r="C38" s="151">
        <v>0.3486111111111111</v>
      </c>
      <c r="D38" s="5"/>
      <c r="E38" s="151">
        <v>0.5409722222222222</v>
      </c>
      <c r="F38" s="5"/>
      <c r="G38" s="151">
        <v>0.5826388888888889</v>
      </c>
      <c r="H38" s="5"/>
      <c r="I38" s="151">
        <v>0.7423611111111111</v>
      </c>
      <c r="J38" s="5"/>
      <c r="K38" s="12"/>
      <c r="L38" s="29">
        <v>0.0</v>
      </c>
      <c r="M38" s="29">
        <v>30.0</v>
      </c>
      <c r="N38" s="13"/>
      <c r="O38" s="13"/>
      <c r="P38" s="35">
        <v>0.4423611111111111</v>
      </c>
      <c r="Q38" s="189">
        <v>-0.4027777777777778</v>
      </c>
      <c r="R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13"/>
      <c r="P39" s="13"/>
    </row>
    <row r="40">
      <c r="A40" s="107" t="s">
        <v>227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  <c r="L40" s="13"/>
      <c r="M40" s="13"/>
      <c r="N40" s="13"/>
      <c r="O40" s="13"/>
      <c r="P40" s="13"/>
    </row>
    <row r="41">
      <c r="A41" s="107" t="s">
        <v>228</v>
      </c>
      <c r="B41" s="108"/>
      <c r="C41" s="108"/>
      <c r="D41" s="108"/>
      <c r="E41" s="15"/>
      <c r="F41" s="108"/>
      <c r="G41" s="15"/>
      <c r="H41" s="108"/>
      <c r="I41" s="108"/>
      <c r="J41" s="109"/>
      <c r="K41" s="6"/>
      <c r="L41" s="13"/>
      <c r="M41" s="13"/>
      <c r="N41" s="35"/>
      <c r="O41" s="13"/>
      <c r="P41" s="13"/>
    </row>
    <row r="42">
      <c r="A42" s="107" t="s">
        <v>229</v>
      </c>
      <c r="B42" s="108"/>
      <c r="C42" s="108"/>
      <c r="D42" s="108"/>
      <c r="E42" s="15"/>
      <c r="F42" s="108"/>
      <c r="G42" s="15"/>
      <c r="H42" s="108"/>
      <c r="I42" s="108"/>
      <c r="J42" s="109"/>
      <c r="K42" s="12"/>
      <c r="L42" s="13"/>
      <c r="M42" s="13"/>
      <c r="N42" s="35"/>
      <c r="O42" s="13"/>
      <c r="P42" s="13"/>
    </row>
    <row r="43">
      <c r="A43" s="110" t="s">
        <v>35</v>
      </c>
      <c r="B43" s="111"/>
      <c r="C43" s="111"/>
      <c r="D43" s="111"/>
      <c r="E43" s="111"/>
      <c r="F43" s="112"/>
      <c r="H43" s="112"/>
      <c r="I43" s="112"/>
      <c r="J43" s="113"/>
      <c r="K43" s="6"/>
      <c r="L43" s="13"/>
      <c r="M43" s="13"/>
      <c r="N43" s="13"/>
      <c r="O43" s="13"/>
      <c r="P43" s="13"/>
    </row>
    <row r="44">
      <c r="A44" s="114" t="s">
        <v>36</v>
      </c>
      <c r="B44" s="115"/>
      <c r="C44" s="116" t="s">
        <v>37</v>
      </c>
      <c r="D44" s="115"/>
      <c r="F44" s="115"/>
      <c r="H44" s="115"/>
      <c r="I44" s="115"/>
      <c r="J44" s="117"/>
      <c r="L44" s="13"/>
      <c r="M44" s="13"/>
      <c r="N44" s="13"/>
      <c r="O44" s="13"/>
      <c r="P44" s="13"/>
    </row>
    <row r="45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O45" s="41"/>
    </row>
    <row r="49">
      <c r="C49" s="41"/>
    </row>
  </sheetData>
  <mergeCells count="144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E24:F24"/>
    <mergeCell ref="G24:H24"/>
    <mergeCell ref="C21:D21"/>
    <mergeCell ref="C22:D22"/>
    <mergeCell ref="E22:F22"/>
    <mergeCell ref="G22:H22"/>
    <mergeCell ref="I22:J22"/>
    <mergeCell ref="C23:J23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2:E42"/>
    <mergeCell ref="D44:E44"/>
    <mergeCell ref="F44:G44"/>
    <mergeCell ref="D45:E45"/>
    <mergeCell ref="F45:G45"/>
    <mergeCell ref="A39:J39"/>
    <mergeCell ref="D40:E40"/>
    <mergeCell ref="F40:G40"/>
    <mergeCell ref="D41:E41"/>
    <mergeCell ref="F41:G41"/>
    <mergeCell ref="F42:G42"/>
    <mergeCell ref="F43:G43"/>
    <mergeCell ref="G29:H29"/>
    <mergeCell ref="I29:J29"/>
    <mergeCell ref="C27:D27"/>
    <mergeCell ref="E27:F27"/>
    <mergeCell ref="G27:H27"/>
    <mergeCell ref="I27:J27"/>
    <mergeCell ref="C28:J28"/>
    <mergeCell ref="C29:D29"/>
    <mergeCell ref="E29:F29"/>
    <mergeCell ref="C30:D30"/>
    <mergeCell ref="E30:F30"/>
    <mergeCell ref="G30:H30"/>
    <mergeCell ref="I30:J30"/>
    <mergeCell ref="E31:F31"/>
    <mergeCell ref="G31:H31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G37:H37"/>
    <mergeCell ref="I37:J37"/>
    <mergeCell ref="C38:D38"/>
    <mergeCell ref="E38:F38"/>
    <mergeCell ref="G38:H38"/>
    <mergeCell ref="I38:J38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</row>
    <row r="6">
      <c r="A6" s="66" t="s">
        <v>10</v>
      </c>
      <c r="B6" s="123" t="s">
        <v>221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99" t="s">
        <v>58</v>
      </c>
      <c r="C8" s="151">
        <v>0.34930555555555554</v>
      </c>
      <c r="D8" s="5"/>
      <c r="E8" s="151">
        <v>0.5</v>
      </c>
      <c r="F8" s="5"/>
      <c r="G8" s="151">
        <v>0.5416666666666666</v>
      </c>
      <c r="H8" s="5"/>
      <c r="I8" s="151">
        <v>0.7083333333333334</v>
      </c>
      <c r="J8" s="5"/>
      <c r="K8" s="6"/>
      <c r="L8" s="29">
        <v>7.0</v>
      </c>
      <c r="M8" s="29">
        <v>-30.0</v>
      </c>
      <c r="N8" s="13"/>
      <c r="O8" s="13"/>
      <c r="P8" s="13"/>
      <c r="Q8" s="13"/>
      <c r="R8" s="13"/>
      <c r="S8" s="13"/>
    </row>
    <row r="9">
      <c r="A9" s="149">
        <v>2.0</v>
      </c>
      <c r="B9" s="200" t="s">
        <v>18</v>
      </c>
      <c r="C9" s="151">
        <v>0.34930555555555554</v>
      </c>
      <c r="D9" s="5"/>
      <c r="E9" s="151">
        <v>0.5</v>
      </c>
      <c r="F9" s="5"/>
      <c r="G9" s="151">
        <v>0.5416666666666666</v>
      </c>
      <c r="H9" s="5"/>
      <c r="I9" s="151">
        <v>0.7125</v>
      </c>
      <c r="J9" s="5"/>
      <c r="K9" s="6"/>
      <c r="L9" s="29">
        <v>7.0</v>
      </c>
      <c r="M9" s="29">
        <v>-24.0</v>
      </c>
      <c r="N9" s="13"/>
      <c r="O9" s="13"/>
      <c r="P9" s="13"/>
      <c r="Q9" s="13"/>
      <c r="R9" s="13"/>
      <c r="S9" s="13"/>
    </row>
    <row r="10">
      <c r="A10" s="149">
        <v>3.0</v>
      </c>
      <c r="B10" s="201" t="s">
        <v>19</v>
      </c>
      <c r="C10" s="150">
        <v>0.3472222222222222</v>
      </c>
      <c r="D10" s="5"/>
      <c r="E10" s="150">
        <v>0.5</v>
      </c>
      <c r="F10" s="5"/>
      <c r="G10" s="150">
        <v>0.5416666666666666</v>
      </c>
      <c r="H10" s="5"/>
      <c r="I10" s="150">
        <v>0.7083333333333334</v>
      </c>
      <c r="J10" s="5"/>
      <c r="K10" s="6"/>
      <c r="L10" s="29">
        <v>10.0</v>
      </c>
      <c r="M10" s="29">
        <v>-30.0</v>
      </c>
      <c r="N10" s="13"/>
      <c r="O10" s="13"/>
      <c r="P10" s="13"/>
      <c r="Q10" s="13"/>
      <c r="R10" s="13"/>
      <c r="S10" s="13"/>
    </row>
    <row r="11">
      <c r="A11" s="149">
        <v>4.0</v>
      </c>
      <c r="B11" s="199" t="s">
        <v>20</v>
      </c>
      <c r="C11" s="150">
        <v>0.34930555555555554</v>
      </c>
      <c r="D11" s="5"/>
      <c r="E11" s="150">
        <v>0.5</v>
      </c>
      <c r="F11" s="5"/>
      <c r="G11" s="150">
        <v>0.5416666666666666</v>
      </c>
      <c r="H11" s="5"/>
      <c r="I11" s="150">
        <v>0.7083333333333334</v>
      </c>
      <c r="J11" s="5"/>
      <c r="K11" s="6"/>
      <c r="L11" s="29">
        <v>7.0</v>
      </c>
      <c r="M11" s="29">
        <v>-30.0</v>
      </c>
      <c r="N11" s="13"/>
      <c r="O11" s="13"/>
      <c r="P11" s="13"/>
      <c r="Q11" s="13"/>
      <c r="R11" s="13"/>
      <c r="S11" s="13"/>
    </row>
    <row r="12">
      <c r="A12" s="149">
        <v>5.0</v>
      </c>
      <c r="B12" s="201" t="s">
        <v>21</v>
      </c>
      <c r="C12" s="150">
        <v>0.33125</v>
      </c>
      <c r="D12" s="5"/>
      <c r="E12" s="147" t="s">
        <v>103</v>
      </c>
      <c r="F12" s="5"/>
      <c r="G12" s="147" t="s">
        <v>103</v>
      </c>
      <c r="H12" s="5"/>
      <c r="I12" s="150">
        <v>0.5013888888888889</v>
      </c>
      <c r="J12" s="5"/>
      <c r="K12" s="6"/>
      <c r="L12" s="29">
        <v>0.0</v>
      </c>
      <c r="M12" s="29"/>
      <c r="N12" s="13"/>
      <c r="O12" s="13"/>
      <c r="P12" s="13"/>
      <c r="Q12" s="13"/>
      <c r="R12" s="13"/>
      <c r="S12" s="13"/>
    </row>
    <row r="13">
      <c r="A13" s="149">
        <v>6.0</v>
      </c>
      <c r="B13" s="201" t="s">
        <v>29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6"/>
      <c r="L13" s="29"/>
      <c r="M13" s="29"/>
      <c r="N13" s="29"/>
      <c r="O13" s="37"/>
      <c r="P13" s="35"/>
      <c r="Q13" s="13"/>
      <c r="R13" s="13"/>
      <c r="S13" s="29"/>
    </row>
    <row r="14">
      <c r="A14" s="149">
        <v>7.0</v>
      </c>
      <c r="B14" s="201" t="s">
        <v>202</v>
      </c>
      <c r="C14" s="150">
        <v>0.3506944444444444</v>
      </c>
      <c r="D14" s="5"/>
      <c r="E14" s="150">
        <v>0.5</v>
      </c>
      <c r="F14" s="5"/>
      <c r="G14" s="150">
        <v>0.5416666666666666</v>
      </c>
      <c r="H14" s="5"/>
      <c r="I14" s="150">
        <v>0.7083333333333334</v>
      </c>
      <c r="J14" s="5"/>
      <c r="K14" s="6"/>
      <c r="L14" s="29">
        <v>0.0</v>
      </c>
      <c r="M14" s="29">
        <v>-30.0</v>
      </c>
      <c r="N14" s="13"/>
      <c r="O14" s="13"/>
      <c r="P14" s="13"/>
      <c r="Q14" s="13"/>
      <c r="R14" s="13"/>
      <c r="S14" s="13"/>
    </row>
    <row r="15">
      <c r="A15" s="149">
        <v>8.0</v>
      </c>
      <c r="B15" s="199" t="s">
        <v>58</v>
      </c>
      <c r="C15" s="150">
        <v>0.34791666666666665</v>
      </c>
      <c r="D15" s="5"/>
      <c r="E15" s="151">
        <v>0.5</v>
      </c>
      <c r="F15" s="5"/>
      <c r="G15" s="151">
        <v>0.5416666666666666</v>
      </c>
      <c r="H15" s="5"/>
      <c r="I15" s="151">
        <v>0.7083333333333334</v>
      </c>
      <c r="J15" s="5"/>
      <c r="K15" s="6"/>
      <c r="L15" s="29">
        <v>9.0</v>
      </c>
      <c r="M15" s="29">
        <v>-30.0</v>
      </c>
      <c r="N15" s="13"/>
      <c r="O15" s="13"/>
      <c r="P15" s="13"/>
      <c r="Q15" s="13"/>
      <c r="R15" s="13"/>
      <c r="S15" s="13"/>
    </row>
    <row r="16">
      <c r="A16" s="149">
        <v>9.0</v>
      </c>
      <c r="B16" s="200" t="s">
        <v>18</v>
      </c>
      <c r="C16" s="151">
        <v>0.3458333333333333</v>
      </c>
      <c r="D16" s="5"/>
      <c r="E16" s="151">
        <v>0.5</v>
      </c>
      <c r="F16" s="5"/>
      <c r="G16" s="151">
        <v>0.5416666666666666</v>
      </c>
      <c r="H16" s="5"/>
      <c r="I16" s="151">
        <v>0.7083333333333334</v>
      </c>
      <c r="J16" s="5"/>
      <c r="K16" s="6"/>
      <c r="L16" s="29">
        <v>12.0</v>
      </c>
      <c r="M16" s="29">
        <v>-30.0</v>
      </c>
      <c r="N16" s="13"/>
      <c r="O16" s="13"/>
      <c r="P16" s="13"/>
      <c r="Q16" s="13"/>
      <c r="R16" s="13"/>
      <c r="S16" s="13"/>
    </row>
    <row r="17">
      <c r="A17" s="149">
        <v>10.0</v>
      </c>
      <c r="B17" s="201" t="s">
        <v>19</v>
      </c>
      <c r="C17" s="150">
        <v>0.35138888888888886</v>
      </c>
      <c r="D17" s="5"/>
      <c r="E17" s="150">
        <v>0.5</v>
      </c>
      <c r="F17" s="5"/>
      <c r="G17" s="150">
        <v>0.5416666666666666</v>
      </c>
      <c r="H17" s="5"/>
      <c r="I17" s="150">
        <v>0.7083333333333334</v>
      </c>
      <c r="J17" s="5"/>
      <c r="K17" s="6"/>
      <c r="L17" s="29">
        <v>0.0</v>
      </c>
      <c r="M17" s="29">
        <v>-30.0</v>
      </c>
      <c r="N17" s="13"/>
      <c r="O17" s="13"/>
      <c r="P17" s="13"/>
      <c r="Q17" s="13"/>
      <c r="R17" s="13"/>
      <c r="S17" s="13"/>
    </row>
    <row r="18">
      <c r="A18" s="149">
        <v>11.0</v>
      </c>
      <c r="B18" s="199" t="s">
        <v>20</v>
      </c>
      <c r="C18" s="150">
        <v>0.34930555555555554</v>
      </c>
      <c r="D18" s="5"/>
      <c r="E18" s="150">
        <v>0.5</v>
      </c>
      <c r="F18" s="5"/>
      <c r="G18" s="150">
        <v>0.5416666666666666</v>
      </c>
      <c r="H18" s="5"/>
      <c r="I18" s="150">
        <v>0.7083333333333334</v>
      </c>
      <c r="J18" s="5"/>
      <c r="K18" s="6"/>
      <c r="L18" s="29">
        <v>7.0</v>
      </c>
      <c r="M18" s="29">
        <v>-30.0</v>
      </c>
      <c r="N18" s="13"/>
      <c r="O18" s="35"/>
      <c r="P18" s="13"/>
      <c r="Q18" s="13"/>
      <c r="R18" s="13"/>
      <c r="S18" s="13"/>
    </row>
    <row r="19">
      <c r="A19" s="149">
        <v>12.0</v>
      </c>
      <c r="B19" s="200" t="s">
        <v>21</v>
      </c>
      <c r="C19" s="150">
        <v>0.33125</v>
      </c>
      <c r="D19" s="5"/>
      <c r="E19" s="147" t="s">
        <v>103</v>
      </c>
      <c r="F19" s="5"/>
      <c r="G19" s="147" t="s">
        <v>103</v>
      </c>
      <c r="H19" s="5"/>
      <c r="I19" s="150">
        <v>0.5</v>
      </c>
      <c r="J19" s="5"/>
      <c r="K19" s="6"/>
      <c r="L19" s="29">
        <v>0.0</v>
      </c>
      <c r="M19" s="29"/>
      <c r="N19" s="29"/>
      <c r="O19" s="37"/>
      <c r="P19" s="35"/>
      <c r="Q19" s="13"/>
      <c r="R19" s="13"/>
      <c r="S19" s="13"/>
    </row>
    <row r="20">
      <c r="A20" s="149">
        <v>13.0</v>
      </c>
      <c r="B20" s="200" t="s">
        <v>23</v>
      </c>
      <c r="C20" s="147" t="s">
        <v>103</v>
      </c>
      <c r="D20" s="5"/>
      <c r="E20" s="147" t="s">
        <v>103</v>
      </c>
      <c r="F20" s="5"/>
      <c r="G20" s="147" t="s">
        <v>103</v>
      </c>
      <c r="H20" s="5"/>
      <c r="I20" s="147" t="s">
        <v>103</v>
      </c>
      <c r="J20" s="5"/>
      <c r="K20" s="6"/>
      <c r="L20" s="29"/>
      <c r="M20" s="29"/>
      <c r="N20" s="13"/>
      <c r="O20" s="13"/>
      <c r="P20" s="13"/>
      <c r="Q20" s="13"/>
      <c r="R20" s="13"/>
      <c r="S20" s="13"/>
    </row>
    <row r="21">
      <c r="A21" s="149">
        <v>14.0</v>
      </c>
      <c r="B21" s="201" t="s">
        <v>202</v>
      </c>
      <c r="C21" s="147" t="s">
        <v>103</v>
      </c>
      <c r="D21" s="5"/>
      <c r="E21" s="147" t="s">
        <v>103</v>
      </c>
      <c r="F21" s="5"/>
      <c r="G21" s="150">
        <v>0.5881944444444445</v>
      </c>
      <c r="H21" s="5"/>
      <c r="I21" s="150">
        <v>0.7083333333333334</v>
      </c>
      <c r="J21" s="5"/>
      <c r="K21" s="6"/>
      <c r="L21" s="96" t="s">
        <v>230</v>
      </c>
      <c r="M21" s="29">
        <v>-30.0</v>
      </c>
      <c r="N21" s="13"/>
      <c r="O21" s="13"/>
      <c r="P21" s="13"/>
      <c r="Q21" s="13"/>
      <c r="R21" s="13"/>
      <c r="S21" s="13"/>
    </row>
    <row r="22">
      <c r="A22" s="149">
        <v>15.0</v>
      </c>
      <c r="B22" s="199" t="s">
        <v>58</v>
      </c>
      <c r="C22" s="150">
        <v>0.34791666666666665</v>
      </c>
      <c r="D22" s="5"/>
      <c r="E22" s="151">
        <v>0.5</v>
      </c>
      <c r="F22" s="5"/>
      <c r="G22" s="151">
        <v>0.5416666666666666</v>
      </c>
      <c r="H22" s="5"/>
      <c r="I22" s="150">
        <v>0.7083333333333334</v>
      </c>
      <c r="J22" s="5"/>
      <c r="K22" s="6"/>
      <c r="L22" s="29">
        <v>9.0</v>
      </c>
      <c r="M22" s="29">
        <v>-30.0</v>
      </c>
      <c r="N22" s="29" t="s">
        <v>190</v>
      </c>
      <c r="O22" s="31" t="s">
        <v>231</v>
      </c>
      <c r="P22" s="35">
        <v>0.04722222222222222</v>
      </c>
      <c r="Q22" s="13"/>
      <c r="R22" s="13"/>
      <c r="S22" s="29" t="s">
        <v>106</v>
      </c>
    </row>
    <row r="23">
      <c r="A23" s="149">
        <v>16.0</v>
      </c>
      <c r="B23" s="200" t="s">
        <v>18</v>
      </c>
      <c r="C23" s="181" t="s">
        <v>78</v>
      </c>
      <c r="D23" s="15"/>
      <c r="E23" s="15"/>
      <c r="F23" s="15"/>
      <c r="G23" s="15"/>
      <c r="H23" s="15"/>
      <c r="I23" s="15"/>
      <c r="J23" s="5"/>
      <c r="K23" s="6"/>
      <c r="L23" s="29"/>
      <c r="M23" s="29"/>
      <c r="N23" s="13"/>
      <c r="O23" s="13"/>
      <c r="P23" s="13"/>
      <c r="Q23" s="13"/>
      <c r="R23" s="13"/>
      <c r="S23" s="13"/>
    </row>
    <row r="24">
      <c r="A24" s="149">
        <v>17.0</v>
      </c>
      <c r="B24" s="201" t="s">
        <v>19</v>
      </c>
      <c r="C24" s="150">
        <v>0.35</v>
      </c>
      <c r="D24" s="5"/>
      <c r="E24" s="150">
        <v>0.5</v>
      </c>
      <c r="F24" s="5"/>
      <c r="G24" s="150">
        <v>0.5416666666666666</v>
      </c>
      <c r="H24" s="5"/>
      <c r="I24" s="150">
        <v>0.7097222222222223</v>
      </c>
      <c r="J24" s="5"/>
      <c r="K24" s="6"/>
      <c r="L24" s="29">
        <v>6.0</v>
      </c>
      <c r="M24" s="29">
        <v>-28.0</v>
      </c>
      <c r="N24" s="29"/>
      <c r="O24" s="37"/>
      <c r="P24" s="35"/>
      <c r="Q24" s="13"/>
      <c r="R24" s="13"/>
      <c r="S24" s="13"/>
    </row>
    <row r="25">
      <c r="A25" s="149">
        <v>18.0</v>
      </c>
      <c r="B25" s="199" t="s">
        <v>20</v>
      </c>
      <c r="C25" s="150">
        <v>0.3506944444444444</v>
      </c>
      <c r="D25" s="5"/>
      <c r="E25" s="150">
        <v>0.5006944444444444</v>
      </c>
      <c r="F25" s="5"/>
      <c r="G25" s="150">
        <v>0.5416666666666666</v>
      </c>
      <c r="H25" s="5"/>
      <c r="I25" s="150">
        <v>0.7138888888888889</v>
      </c>
      <c r="J25" s="5"/>
      <c r="K25" s="6"/>
      <c r="L25" s="29">
        <v>0.0</v>
      </c>
      <c r="M25" s="29">
        <v>-22.0</v>
      </c>
      <c r="N25" s="13"/>
      <c r="O25" s="13"/>
      <c r="P25" s="13"/>
      <c r="Q25" s="13"/>
      <c r="R25" s="13"/>
      <c r="S25" s="13"/>
    </row>
    <row r="26">
      <c r="A26" s="149">
        <v>19.0</v>
      </c>
      <c r="B26" s="200" t="s">
        <v>21</v>
      </c>
      <c r="C26" s="150">
        <v>0.3277777777777778</v>
      </c>
      <c r="D26" s="5"/>
      <c r="E26" s="147" t="s">
        <v>103</v>
      </c>
      <c r="F26" s="5"/>
      <c r="G26" s="147" t="s">
        <v>103</v>
      </c>
      <c r="H26" s="5"/>
      <c r="I26" s="150">
        <v>0.49722222222222223</v>
      </c>
      <c r="J26" s="5"/>
      <c r="K26" s="127"/>
      <c r="L26" s="29">
        <v>0.0</v>
      </c>
      <c r="M26" s="29"/>
      <c r="N26" s="96"/>
      <c r="O26" s="29"/>
      <c r="P26" s="35"/>
      <c r="Q26" s="13"/>
      <c r="R26" s="13"/>
      <c r="S26" s="13"/>
    </row>
    <row r="27">
      <c r="A27" s="149">
        <v>20.0</v>
      </c>
      <c r="B27" s="200" t="s">
        <v>23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6"/>
      <c r="L27" s="29"/>
      <c r="M27" s="29"/>
      <c r="N27" s="13"/>
      <c r="O27" s="13"/>
      <c r="P27" s="13"/>
      <c r="Q27" s="13"/>
      <c r="R27" s="13"/>
      <c r="S27" s="13"/>
    </row>
    <row r="28">
      <c r="A28" s="149">
        <v>21.0</v>
      </c>
      <c r="B28" s="199" t="s">
        <v>202</v>
      </c>
      <c r="C28" s="150">
        <v>0.3486111111111111</v>
      </c>
      <c r="D28" s="5"/>
      <c r="E28" s="150">
        <v>0.5</v>
      </c>
      <c r="F28" s="5"/>
      <c r="G28" s="150">
        <v>0.5416666666666666</v>
      </c>
      <c r="H28" s="5"/>
      <c r="I28" s="150">
        <v>0.7472222222222222</v>
      </c>
      <c r="J28" s="5"/>
      <c r="K28" s="6"/>
      <c r="L28" s="29">
        <v>8.0</v>
      </c>
      <c r="M28" s="39">
        <v>26.0</v>
      </c>
      <c r="N28" s="191"/>
      <c r="O28" s="31"/>
      <c r="P28" s="13"/>
      <c r="Q28" s="13"/>
      <c r="R28" s="13"/>
      <c r="S28" s="13"/>
    </row>
    <row r="29">
      <c r="A29" s="149">
        <v>22.0</v>
      </c>
      <c r="B29" s="200" t="s">
        <v>58</v>
      </c>
      <c r="C29" s="150">
        <v>0.34652777777777777</v>
      </c>
      <c r="D29" s="5"/>
      <c r="E29" s="150">
        <v>0.5</v>
      </c>
      <c r="F29" s="5"/>
      <c r="G29" s="150">
        <v>0.5416666666666666</v>
      </c>
      <c r="H29" s="5"/>
      <c r="I29" s="150">
        <v>0.75</v>
      </c>
      <c r="J29" s="5"/>
      <c r="K29" s="6"/>
      <c r="L29" s="29">
        <v>11.0</v>
      </c>
      <c r="M29" s="39">
        <v>30.0</v>
      </c>
      <c r="N29" s="13"/>
      <c r="O29" s="13"/>
      <c r="P29" s="13"/>
      <c r="Q29" s="13"/>
      <c r="R29" s="13"/>
      <c r="S29" s="13"/>
    </row>
    <row r="30">
      <c r="A30" s="149">
        <v>23.0</v>
      </c>
      <c r="B30" s="200" t="s">
        <v>18</v>
      </c>
      <c r="C30" s="151">
        <v>0.3486111111111111</v>
      </c>
      <c r="D30" s="5"/>
      <c r="E30" s="151">
        <v>0.5</v>
      </c>
      <c r="F30" s="5"/>
      <c r="G30" s="151">
        <v>0.5444444444444444</v>
      </c>
      <c r="H30" s="5"/>
      <c r="I30" s="151">
        <v>0.7451388888888889</v>
      </c>
      <c r="J30" s="5"/>
      <c r="K30" s="6"/>
      <c r="L30" s="29">
        <v>8.0</v>
      </c>
      <c r="M30" s="39">
        <v>19.0</v>
      </c>
      <c r="N30" s="13"/>
      <c r="O30" s="13"/>
      <c r="P30" s="13"/>
      <c r="Q30" s="13"/>
      <c r="R30" s="13"/>
      <c r="S30" s="13"/>
    </row>
    <row r="31">
      <c r="A31" s="149">
        <v>24.0</v>
      </c>
      <c r="B31" s="199" t="s">
        <v>19</v>
      </c>
      <c r="C31" s="151">
        <v>0.34930555555555554</v>
      </c>
      <c r="D31" s="5"/>
      <c r="E31" s="151">
        <v>0.5013888888888889</v>
      </c>
      <c r="F31" s="5"/>
      <c r="G31" s="151">
        <v>0.5416666666666666</v>
      </c>
      <c r="H31" s="5"/>
      <c r="I31" s="151">
        <v>0.7472222222222222</v>
      </c>
      <c r="J31" s="5"/>
      <c r="K31" s="6"/>
      <c r="L31" s="29">
        <v>7.0</v>
      </c>
      <c r="M31" s="39">
        <v>26.0</v>
      </c>
      <c r="N31" s="13"/>
      <c r="O31" s="13"/>
      <c r="P31" s="13"/>
      <c r="Q31" s="13"/>
      <c r="R31" s="13"/>
      <c r="S31" s="13"/>
    </row>
    <row r="32">
      <c r="A32" s="149">
        <v>25.0</v>
      </c>
      <c r="B32" s="200" t="s">
        <v>20</v>
      </c>
      <c r="C32" s="151">
        <v>0.3486111111111111</v>
      </c>
      <c r="D32" s="5"/>
      <c r="E32" s="151">
        <v>0.5</v>
      </c>
      <c r="F32" s="5"/>
      <c r="G32" s="151">
        <v>0.5416666666666666</v>
      </c>
      <c r="H32" s="5"/>
      <c r="I32" s="151">
        <v>0.7458333333333333</v>
      </c>
      <c r="J32" s="5"/>
      <c r="K32" s="6"/>
      <c r="L32" s="29">
        <v>8.0</v>
      </c>
      <c r="M32" s="39">
        <v>24.0</v>
      </c>
      <c r="N32" s="93" t="s">
        <v>190</v>
      </c>
      <c r="O32" s="183" t="s">
        <v>232</v>
      </c>
      <c r="P32" s="94">
        <v>0.1673611111111111</v>
      </c>
      <c r="Q32" s="95"/>
      <c r="R32" s="95"/>
      <c r="S32" s="93" t="s">
        <v>106</v>
      </c>
    </row>
    <row r="33">
      <c r="A33" s="149">
        <v>26.0</v>
      </c>
      <c r="B33" s="200" t="s">
        <v>21</v>
      </c>
      <c r="C33" s="150">
        <v>0.3284722222222222</v>
      </c>
      <c r="D33" s="5"/>
      <c r="E33" s="150"/>
      <c r="F33" s="5"/>
      <c r="G33" s="150"/>
      <c r="H33" s="5"/>
      <c r="I33" s="150">
        <v>0.4888888888888889</v>
      </c>
      <c r="J33" s="5"/>
      <c r="K33" s="6"/>
      <c r="L33" s="29">
        <v>-9.0</v>
      </c>
      <c r="M33" s="39"/>
      <c r="N33" s="29"/>
      <c r="O33" s="37"/>
      <c r="P33" s="35"/>
      <c r="Q33" s="13"/>
      <c r="R33" s="13"/>
      <c r="S33" s="13"/>
    </row>
    <row r="34">
      <c r="A34" s="149">
        <v>27.0</v>
      </c>
      <c r="B34" s="200" t="s">
        <v>23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6"/>
      <c r="L34" s="29"/>
      <c r="M34" s="39"/>
      <c r="N34" s="96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99" t="s">
        <v>202</v>
      </c>
      <c r="C35" s="151">
        <v>0.34791666666666665</v>
      </c>
      <c r="D35" s="5"/>
      <c r="E35" s="151">
        <v>0.5</v>
      </c>
      <c r="F35" s="5"/>
      <c r="G35" s="151">
        <v>0.5416666666666666</v>
      </c>
      <c r="H35" s="5"/>
      <c r="I35" s="151">
        <v>0.7465277777777778</v>
      </c>
      <c r="J35" s="5"/>
      <c r="L35" s="29">
        <v>9.0</v>
      </c>
      <c r="M35" s="128">
        <v>25.0</v>
      </c>
      <c r="N35" s="29"/>
      <c r="O35" s="29"/>
      <c r="P35" s="35"/>
      <c r="Q35" s="13"/>
      <c r="R35" s="13"/>
      <c r="S35" s="13"/>
      <c r="T35" s="13"/>
      <c r="U35" s="13"/>
      <c r="V35" s="13"/>
    </row>
    <row r="36">
      <c r="A36" s="149">
        <v>29.0</v>
      </c>
      <c r="B36" s="200" t="s">
        <v>58</v>
      </c>
      <c r="C36" s="151">
        <v>0.3472222222222222</v>
      </c>
      <c r="D36" s="5"/>
      <c r="E36" s="151">
        <v>0.5</v>
      </c>
      <c r="F36" s="5"/>
      <c r="G36" s="151">
        <v>0.5416666666666666</v>
      </c>
      <c r="H36" s="5"/>
      <c r="I36" s="151">
        <v>0.7486111111111111</v>
      </c>
      <c r="J36" s="5"/>
      <c r="K36" s="6"/>
      <c r="L36" s="29">
        <v>10.0</v>
      </c>
      <c r="M36" s="39">
        <v>28.0</v>
      </c>
      <c r="N36" s="13"/>
      <c r="O36" s="13"/>
      <c r="P36" s="13"/>
      <c r="Q36" s="13"/>
      <c r="R36" s="13"/>
      <c r="S36" s="13"/>
    </row>
    <row r="37">
      <c r="A37" s="163">
        <v>30.0</v>
      </c>
      <c r="B37" s="200" t="s">
        <v>18</v>
      </c>
      <c r="C37" s="151">
        <v>0.35208333333333336</v>
      </c>
      <c r="D37" s="5"/>
      <c r="E37" s="151">
        <v>0.5</v>
      </c>
      <c r="F37" s="5"/>
      <c r="G37" s="151">
        <v>0.5416666666666666</v>
      </c>
      <c r="H37" s="5"/>
      <c r="I37" s="151">
        <v>0.7472222222222222</v>
      </c>
      <c r="J37" s="5"/>
      <c r="K37" s="6"/>
      <c r="L37" s="29">
        <v>0.0</v>
      </c>
      <c r="M37" s="39">
        <v>26.0</v>
      </c>
      <c r="N37" s="93" t="s">
        <v>190</v>
      </c>
      <c r="O37" s="204">
        <v>-0.4625</v>
      </c>
      <c r="P37" s="94">
        <v>0.23541666666666666</v>
      </c>
      <c r="Q37" s="95"/>
      <c r="R37" s="95"/>
      <c r="S37" s="93" t="s">
        <v>106</v>
      </c>
    </row>
    <row r="38">
      <c r="A38" s="163">
        <v>31.0</v>
      </c>
      <c r="B38" s="199" t="s">
        <v>19</v>
      </c>
      <c r="C38" s="151">
        <v>0.34930555555555554</v>
      </c>
      <c r="D38" s="5"/>
      <c r="E38" s="151">
        <v>0.5</v>
      </c>
      <c r="F38" s="5"/>
      <c r="G38" s="151">
        <v>0.5416666666666666</v>
      </c>
      <c r="H38" s="5"/>
      <c r="I38" s="151">
        <v>0.7534722222222222</v>
      </c>
      <c r="J38" s="5"/>
      <c r="K38" s="6"/>
      <c r="L38" s="13"/>
      <c r="M38" s="39"/>
      <c r="N38" s="39"/>
      <c r="O38" s="31"/>
      <c r="P38" s="35">
        <v>0.24375</v>
      </c>
      <c r="Q38" s="13"/>
      <c r="R38" s="13"/>
      <c r="S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/>
      <c r="P39" s="13"/>
    </row>
    <row r="40">
      <c r="A40" s="107" t="s">
        <v>233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29"/>
      <c r="P40" s="13"/>
    </row>
    <row r="41">
      <c r="A41" s="107" t="s">
        <v>234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29"/>
    </row>
    <row r="42">
      <c r="A42" s="132" t="s">
        <v>235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29"/>
      <c r="P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  <c r="K46" s="6"/>
    </row>
  </sheetData>
  <mergeCells count="146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C26:D26"/>
    <mergeCell ref="E26:F26"/>
    <mergeCell ref="C27:D27"/>
    <mergeCell ref="E27:F27"/>
    <mergeCell ref="G27:H27"/>
    <mergeCell ref="I27:J27"/>
    <mergeCell ref="E28:F28"/>
    <mergeCell ref="G28:H28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5:E45"/>
    <mergeCell ref="F45:G45"/>
    <mergeCell ref="D46:E46"/>
    <mergeCell ref="F46:G46"/>
    <mergeCell ref="A39:J39"/>
    <mergeCell ref="A40:J40"/>
    <mergeCell ref="A41:J41"/>
    <mergeCell ref="A42:J42"/>
    <mergeCell ref="F43:G43"/>
    <mergeCell ref="D44:E44"/>
    <mergeCell ref="F44:G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E24:F24"/>
    <mergeCell ref="G24:H24"/>
    <mergeCell ref="C21:D21"/>
    <mergeCell ref="C22:D22"/>
    <mergeCell ref="E22:F22"/>
    <mergeCell ref="G22:H22"/>
    <mergeCell ref="I22:J22"/>
    <mergeCell ref="C23:J23"/>
    <mergeCell ref="I24:J24"/>
    <mergeCell ref="G26:H26"/>
    <mergeCell ref="I26:J26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1.38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174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236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</row>
    <row r="8">
      <c r="A8" s="148">
        <v>1.0</v>
      </c>
      <c r="B8" s="199" t="s">
        <v>23</v>
      </c>
      <c r="C8" s="181" t="s">
        <v>103</v>
      </c>
      <c r="D8" s="5"/>
      <c r="E8" s="181" t="s">
        <v>103</v>
      </c>
      <c r="F8" s="5"/>
      <c r="G8" s="181" t="s">
        <v>103</v>
      </c>
      <c r="H8" s="5"/>
      <c r="I8" s="181" t="s">
        <v>103</v>
      </c>
      <c r="J8" s="5"/>
      <c r="K8" s="12"/>
      <c r="L8" s="13"/>
      <c r="M8" s="13"/>
      <c r="N8" s="13"/>
      <c r="O8" s="13"/>
      <c r="P8" s="13"/>
    </row>
    <row r="9">
      <c r="A9" s="149">
        <v>2.0</v>
      </c>
      <c r="B9" s="200" t="s">
        <v>202</v>
      </c>
      <c r="C9" s="151">
        <v>0.35138888888888886</v>
      </c>
      <c r="D9" s="5"/>
      <c r="E9" s="151">
        <v>0.5618055555555556</v>
      </c>
      <c r="F9" s="5"/>
      <c r="G9" s="151">
        <v>0.6097222222222223</v>
      </c>
      <c r="H9" s="5"/>
      <c r="I9" s="151">
        <v>0.7472222222222222</v>
      </c>
      <c r="J9" s="5"/>
      <c r="K9" s="12"/>
      <c r="L9" s="29">
        <v>0.0</v>
      </c>
      <c r="M9" s="29"/>
      <c r="N9" s="13"/>
      <c r="O9" s="13"/>
      <c r="P9" s="13"/>
    </row>
    <row r="10">
      <c r="A10" s="149">
        <v>3.0</v>
      </c>
      <c r="B10" s="201" t="s">
        <v>25</v>
      </c>
      <c r="C10" s="150">
        <v>0.34930555555555554</v>
      </c>
      <c r="D10" s="5"/>
      <c r="E10" s="150">
        <v>0.5493055555555556</v>
      </c>
      <c r="F10" s="5"/>
      <c r="G10" s="150">
        <v>0.59375</v>
      </c>
      <c r="H10" s="5"/>
      <c r="I10" s="150">
        <v>0.7465277777777778</v>
      </c>
      <c r="J10" s="5"/>
      <c r="K10" s="12"/>
      <c r="L10" s="29">
        <v>0.0</v>
      </c>
      <c r="M10" s="13"/>
      <c r="N10" s="13"/>
      <c r="O10" s="13"/>
      <c r="P10" s="13"/>
    </row>
    <row r="11">
      <c r="A11" s="149">
        <v>4.0</v>
      </c>
      <c r="B11" s="199" t="s">
        <v>18</v>
      </c>
      <c r="C11" s="150">
        <v>0.35138888888888886</v>
      </c>
      <c r="D11" s="5"/>
      <c r="E11" s="150">
        <v>0.5597222222222222</v>
      </c>
      <c r="F11" s="5"/>
      <c r="G11" s="150">
        <v>0.6027777777777777</v>
      </c>
      <c r="H11" s="5"/>
      <c r="I11" s="150">
        <v>0.7451388888888889</v>
      </c>
      <c r="J11" s="5"/>
      <c r="K11" s="12"/>
      <c r="L11" s="29">
        <v>0.0</v>
      </c>
      <c r="M11" s="13"/>
      <c r="N11" s="13"/>
      <c r="O11" s="13"/>
      <c r="P11" s="13"/>
    </row>
    <row r="12">
      <c r="A12" s="149">
        <v>5.0</v>
      </c>
      <c r="B12" s="201" t="s">
        <v>19</v>
      </c>
      <c r="C12" s="150">
        <v>0.34930555555555554</v>
      </c>
      <c r="D12" s="5"/>
      <c r="E12" s="150">
        <v>0.5493055555555556</v>
      </c>
      <c r="F12" s="5"/>
      <c r="G12" s="150">
        <v>0.5951388888888889</v>
      </c>
      <c r="H12" s="5"/>
      <c r="I12" s="150">
        <v>0.7444444444444445</v>
      </c>
      <c r="J12" s="5"/>
      <c r="K12" s="12"/>
      <c r="L12" s="29">
        <v>0.0</v>
      </c>
      <c r="M12" s="13"/>
      <c r="N12" s="13"/>
      <c r="O12" s="13"/>
      <c r="P12" s="13"/>
    </row>
    <row r="13">
      <c r="A13" s="149">
        <v>6.0</v>
      </c>
      <c r="B13" s="201" t="s">
        <v>20</v>
      </c>
      <c r="C13" s="150">
        <v>0.3506944444444444</v>
      </c>
      <c r="D13" s="5"/>
      <c r="E13" s="150">
        <v>0.5631944444444444</v>
      </c>
      <c r="F13" s="5"/>
      <c r="G13" s="150">
        <v>0.6076388888888888</v>
      </c>
      <c r="H13" s="5"/>
      <c r="I13" s="150">
        <v>0.7444444444444445</v>
      </c>
      <c r="J13" s="5"/>
      <c r="K13" s="12"/>
      <c r="L13" s="29">
        <v>0.0</v>
      </c>
      <c r="M13" s="93" t="s">
        <v>190</v>
      </c>
      <c r="N13" s="93"/>
      <c r="O13" s="93"/>
      <c r="P13" s="13"/>
    </row>
    <row r="14">
      <c r="A14" s="149">
        <v>7.0</v>
      </c>
      <c r="B14" s="201" t="s">
        <v>21</v>
      </c>
      <c r="C14" s="150">
        <v>0.3326388888888889</v>
      </c>
      <c r="D14" s="5"/>
      <c r="E14" s="147" t="s">
        <v>103</v>
      </c>
      <c r="F14" s="5"/>
      <c r="G14" s="147" t="s">
        <v>103</v>
      </c>
      <c r="H14" s="5"/>
      <c r="I14" s="150">
        <v>0.5006944444444444</v>
      </c>
      <c r="J14" s="5"/>
      <c r="K14" s="12"/>
      <c r="L14" s="29">
        <v>0.0</v>
      </c>
      <c r="M14" s="13"/>
      <c r="N14" s="13"/>
      <c r="O14" s="13"/>
      <c r="P14" s="13"/>
    </row>
    <row r="15">
      <c r="A15" s="149">
        <v>8.0</v>
      </c>
      <c r="B15" s="199" t="s">
        <v>29</v>
      </c>
      <c r="C15" s="147" t="s">
        <v>103</v>
      </c>
      <c r="D15" s="5"/>
      <c r="E15" s="181" t="s">
        <v>103</v>
      </c>
      <c r="F15" s="5"/>
      <c r="G15" s="181" t="s">
        <v>103</v>
      </c>
      <c r="H15" s="5"/>
      <c r="I15" s="181" t="s">
        <v>103</v>
      </c>
      <c r="J15" s="5"/>
      <c r="K15" s="12"/>
      <c r="L15" s="29"/>
      <c r="M15" s="13"/>
      <c r="N15" s="13"/>
      <c r="O15" s="13"/>
      <c r="P15" s="13"/>
    </row>
    <row r="16">
      <c r="A16" s="149">
        <v>9.0</v>
      </c>
      <c r="B16" s="200" t="s">
        <v>202</v>
      </c>
      <c r="C16" s="151">
        <v>0.3506944444444444</v>
      </c>
      <c r="D16" s="5"/>
      <c r="E16" s="151">
        <v>0.5597222222222222</v>
      </c>
      <c r="F16" s="5"/>
      <c r="G16" s="151">
        <v>0.6069444444444444</v>
      </c>
      <c r="H16" s="5"/>
      <c r="I16" s="151">
        <v>0.7458333333333333</v>
      </c>
      <c r="J16" s="5"/>
      <c r="K16" s="12"/>
      <c r="L16" s="29">
        <v>0.0</v>
      </c>
      <c r="M16" s="13"/>
      <c r="N16" s="13"/>
      <c r="O16" s="13"/>
      <c r="P16" s="13"/>
    </row>
    <row r="17">
      <c r="A17" s="149">
        <v>10.0</v>
      </c>
      <c r="B17" s="201" t="s">
        <v>58</v>
      </c>
      <c r="C17" s="150">
        <v>0.34930555555555554</v>
      </c>
      <c r="D17" s="5"/>
      <c r="E17" s="150">
        <v>0.5527777777777778</v>
      </c>
      <c r="F17" s="5"/>
      <c r="G17" s="150">
        <v>0.5986111111111111</v>
      </c>
      <c r="H17" s="5"/>
      <c r="I17" s="150">
        <v>0.74375</v>
      </c>
      <c r="J17" s="5"/>
      <c r="K17" s="12"/>
      <c r="L17" s="39">
        <v>0.0</v>
      </c>
      <c r="M17" s="29"/>
      <c r="N17" s="31"/>
      <c r="O17" s="29"/>
      <c r="P17" s="13"/>
    </row>
    <row r="18">
      <c r="A18" s="149">
        <v>11.0</v>
      </c>
      <c r="B18" s="199" t="s">
        <v>18</v>
      </c>
      <c r="C18" s="150">
        <v>0.34930555555555554</v>
      </c>
      <c r="D18" s="5"/>
      <c r="E18" s="150">
        <v>0.5597222222222222</v>
      </c>
      <c r="F18" s="5"/>
      <c r="G18" s="150">
        <v>0.6048611111111111</v>
      </c>
      <c r="H18" s="5"/>
      <c r="I18" s="150">
        <v>0.7472222222222222</v>
      </c>
      <c r="J18" s="5"/>
      <c r="K18" s="12"/>
      <c r="L18" s="29">
        <v>0.0</v>
      </c>
      <c r="M18" s="13"/>
      <c r="N18" s="13"/>
      <c r="O18" s="13"/>
      <c r="P18" s="13"/>
    </row>
    <row r="19">
      <c r="A19" s="149">
        <v>12.0</v>
      </c>
      <c r="B19" s="200" t="s">
        <v>19</v>
      </c>
      <c r="C19" s="150">
        <v>0.3486111111111111</v>
      </c>
      <c r="D19" s="5"/>
      <c r="E19" s="150">
        <v>0.5527777777777778</v>
      </c>
      <c r="F19" s="5"/>
      <c r="G19" s="150">
        <v>0.5979166666666667</v>
      </c>
      <c r="H19" s="5"/>
      <c r="I19" s="150">
        <v>0.7444444444444445</v>
      </c>
      <c r="J19" s="5"/>
      <c r="K19" s="12"/>
      <c r="L19" s="39">
        <v>0.0</v>
      </c>
      <c r="M19" s="93" t="s">
        <v>190</v>
      </c>
      <c r="N19" s="13"/>
      <c r="O19" s="13"/>
      <c r="P19" s="13"/>
    </row>
    <row r="20">
      <c r="A20" s="149">
        <v>13.0</v>
      </c>
      <c r="B20" s="200" t="s">
        <v>20</v>
      </c>
      <c r="C20" s="150">
        <v>0.35208333333333336</v>
      </c>
      <c r="D20" s="5"/>
      <c r="E20" s="150">
        <v>0.5534722222222223</v>
      </c>
      <c r="F20" s="5"/>
      <c r="G20" s="150">
        <v>0.5986111111111111</v>
      </c>
      <c r="H20" s="5"/>
      <c r="I20" s="150">
        <v>0.7444444444444445</v>
      </c>
      <c r="J20" s="5"/>
      <c r="K20" s="12"/>
      <c r="L20" s="29">
        <v>0.0</v>
      </c>
      <c r="M20" s="13"/>
      <c r="N20" s="13"/>
      <c r="O20" s="13"/>
      <c r="P20" s="13"/>
    </row>
    <row r="21">
      <c r="A21" s="149">
        <v>14.0</v>
      </c>
      <c r="B21" s="201" t="s">
        <v>21</v>
      </c>
      <c r="C21" s="150">
        <v>0.32916666666666666</v>
      </c>
      <c r="D21" s="5"/>
      <c r="E21" s="147" t="s">
        <v>103</v>
      </c>
      <c r="F21" s="5"/>
      <c r="G21" s="147" t="s">
        <v>103</v>
      </c>
      <c r="H21" s="5"/>
      <c r="I21" s="150">
        <v>0.5097222222222222</v>
      </c>
      <c r="J21" s="5"/>
      <c r="K21" s="12"/>
      <c r="L21" s="29">
        <v>20.0</v>
      </c>
      <c r="M21" s="13"/>
      <c r="N21" s="13"/>
      <c r="O21" s="13"/>
      <c r="P21" s="13"/>
    </row>
    <row r="22">
      <c r="A22" s="149">
        <v>15.0</v>
      </c>
      <c r="B22" s="199" t="s">
        <v>29</v>
      </c>
      <c r="C22" s="147" t="s">
        <v>103</v>
      </c>
      <c r="D22" s="5"/>
      <c r="E22" s="181" t="s">
        <v>103</v>
      </c>
      <c r="F22" s="5"/>
      <c r="G22" s="181" t="s">
        <v>103</v>
      </c>
      <c r="H22" s="5"/>
      <c r="I22" s="147" t="s">
        <v>103</v>
      </c>
      <c r="J22" s="5"/>
      <c r="K22" s="12"/>
      <c r="L22" s="29"/>
      <c r="M22" s="29"/>
      <c r="N22" s="31"/>
      <c r="O22" s="29"/>
      <c r="P22" s="13"/>
    </row>
    <row r="23">
      <c r="A23" s="149">
        <v>16.0</v>
      </c>
      <c r="B23" s="200" t="s">
        <v>202</v>
      </c>
      <c r="C23" s="151">
        <v>0.35138888888888886</v>
      </c>
      <c r="D23" s="5"/>
      <c r="E23" s="151">
        <v>0.5513888888888889</v>
      </c>
      <c r="F23" s="5"/>
      <c r="G23" s="151">
        <v>0.5986111111111111</v>
      </c>
      <c r="H23" s="5"/>
      <c r="I23" s="151">
        <v>0.7451388888888889</v>
      </c>
      <c r="J23" s="5"/>
      <c r="K23" s="12"/>
      <c r="L23" s="29">
        <v>-6.0</v>
      </c>
      <c r="M23" s="13"/>
      <c r="N23" s="13"/>
      <c r="O23" s="13"/>
      <c r="P23" s="13"/>
    </row>
    <row r="24">
      <c r="A24" s="149">
        <v>17.0</v>
      </c>
      <c r="B24" s="201" t="s">
        <v>25</v>
      </c>
      <c r="C24" s="150">
        <v>0.3486111111111111</v>
      </c>
      <c r="D24" s="5"/>
      <c r="E24" s="150">
        <v>0.5493055555555556</v>
      </c>
      <c r="F24" s="5"/>
      <c r="G24" s="147" t="s">
        <v>103</v>
      </c>
      <c r="H24" s="5"/>
      <c r="I24" s="150">
        <v>0.7458333333333333</v>
      </c>
      <c r="J24" s="5"/>
      <c r="K24" s="12"/>
      <c r="L24" s="29">
        <v>0.0</v>
      </c>
      <c r="M24" s="93" t="s">
        <v>190</v>
      </c>
      <c r="N24" s="93">
        <v>-6.0</v>
      </c>
      <c r="O24" s="94">
        <v>0.013888888888888888</v>
      </c>
      <c r="P24" s="13"/>
    </row>
    <row r="25">
      <c r="A25" s="149">
        <v>18.0</v>
      </c>
      <c r="B25" s="199" t="s">
        <v>18</v>
      </c>
      <c r="C25" s="150">
        <v>0.35</v>
      </c>
      <c r="D25" s="5"/>
      <c r="E25" s="150">
        <v>0.5611111111111111</v>
      </c>
      <c r="F25" s="5"/>
      <c r="G25" s="150">
        <v>0.6069444444444444</v>
      </c>
      <c r="H25" s="5"/>
      <c r="I25" s="150">
        <v>0.7479166666666667</v>
      </c>
      <c r="J25" s="5"/>
      <c r="K25" s="12"/>
      <c r="L25" s="29">
        <v>0.0</v>
      </c>
      <c r="M25" s="13"/>
      <c r="N25" s="13"/>
      <c r="O25" s="13"/>
      <c r="P25" s="13"/>
    </row>
    <row r="26">
      <c r="A26" s="149">
        <v>19.0</v>
      </c>
      <c r="B26" s="200" t="s">
        <v>26</v>
      </c>
      <c r="C26" s="147" t="s">
        <v>78</v>
      </c>
      <c r="D26" s="15"/>
      <c r="E26" s="15"/>
      <c r="F26" s="15"/>
      <c r="G26" s="15"/>
      <c r="H26" s="15"/>
      <c r="I26" s="15"/>
      <c r="J26" s="5"/>
      <c r="K26" s="40"/>
      <c r="L26" s="29"/>
      <c r="M26" s="29"/>
      <c r="N26" s="31"/>
      <c r="O26" s="29"/>
      <c r="P26" s="29"/>
    </row>
    <row r="27">
      <c r="A27" s="149">
        <v>20.0</v>
      </c>
      <c r="B27" s="200" t="s">
        <v>20</v>
      </c>
      <c r="C27" s="150">
        <v>0.35</v>
      </c>
      <c r="D27" s="5"/>
      <c r="E27" s="150">
        <v>0.55625</v>
      </c>
      <c r="F27" s="5"/>
      <c r="G27" s="150">
        <v>0.6020833333333333</v>
      </c>
      <c r="H27" s="5"/>
      <c r="I27" s="150">
        <v>0.7430555555555556</v>
      </c>
      <c r="J27" s="5"/>
      <c r="K27" s="12"/>
      <c r="L27" s="29">
        <v>0.0</v>
      </c>
      <c r="M27" s="13"/>
      <c r="N27" s="13"/>
      <c r="O27" s="13"/>
      <c r="P27" s="13"/>
    </row>
    <row r="28">
      <c r="A28" s="149">
        <v>21.0</v>
      </c>
      <c r="B28" s="199" t="s">
        <v>21</v>
      </c>
      <c r="C28" s="147" t="s">
        <v>103</v>
      </c>
      <c r="D28" s="5"/>
      <c r="E28" s="147" t="s">
        <v>103</v>
      </c>
      <c r="F28" s="5"/>
      <c r="G28" s="147" t="s">
        <v>103</v>
      </c>
      <c r="H28" s="5"/>
      <c r="I28" s="147" t="s">
        <v>103</v>
      </c>
      <c r="J28" s="5"/>
      <c r="K28" s="12"/>
      <c r="L28" s="29"/>
      <c r="M28" s="13"/>
      <c r="N28" s="13"/>
      <c r="O28" s="13"/>
      <c r="P28" s="13"/>
    </row>
    <row r="29">
      <c r="A29" s="149">
        <v>22.0</v>
      </c>
      <c r="B29" s="200" t="s">
        <v>23</v>
      </c>
      <c r="C29" s="147" t="s">
        <v>103</v>
      </c>
      <c r="D29" s="5"/>
      <c r="E29" s="181" t="s">
        <v>103</v>
      </c>
      <c r="F29" s="5"/>
      <c r="G29" s="181" t="s">
        <v>103</v>
      </c>
      <c r="H29" s="5"/>
      <c r="I29" s="147" t="s">
        <v>103</v>
      </c>
      <c r="J29" s="5"/>
      <c r="K29" s="12"/>
      <c r="L29" s="29"/>
      <c r="M29" s="13"/>
      <c r="N29" s="13"/>
      <c r="O29" s="13"/>
      <c r="P29" s="13"/>
    </row>
    <row r="30">
      <c r="A30" s="149">
        <v>23.0</v>
      </c>
      <c r="B30" s="200" t="s">
        <v>202</v>
      </c>
      <c r="C30" s="151">
        <v>0.35347222222222224</v>
      </c>
      <c r="D30" s="5"/>
      <c r="E30" s="151">
        <v>0.5534722222222223</v>
      </c>
      <c r="F30" s="5"/>
      <c r="G30" s="151">
        <v>0.5993055555555555</v>
      </c>
      <c r="H30" s="5"/>
      <c r="I30" s="151">
        <v>0.7451388888888889</v>
      </c>
      <c r="J30" s="5"/>
      <c r="K30" s="12"/>
      <c r="L30" s="29">
        <v>-7.0</v>
      </c>
      <c r="M30" s="13"/>
      <c r="N30" s="13"/>
      <c r="O30" s="13"/>
      <c r="P30" s="13"/>
    </row>
    <row r="31">
      <c r="A31" s="149">
        <v>24.0</v>
      </c>
      <c r="B31" s="199" t="s">
        <v>58</v>
      </c>
      <c r="C31" s="150">
        <v>0.3506944444444444</v>
      </c>
      <c r="D31" s="5"/>
      <c r="E31" s="150">
        <v>0.5534722222222223</v>
      </c>
      <c r="F31" s="5"/>
      <c r="G31" s="150">
        <v>0.5993055555555555</v>
      </c>
      <c r="H31" s="5"/>
      <c r="I31" s="150">
        <v>0.7444444444444445</v>
      </c>
      <c r="J31" s="5"/>
      <c r="K31" s="12"/>
      <c r="L31" s="29">
        <v>0.0</v>
      </c>
      <c r="M31" s="13"/>
      <c r="N31" s="13"/>
      <c r="O31" s="13"/>
      <c r="P31" s="13"/>
    </row>
    <row r="32">
      <c r="A32" s="149">
        <v>25.0</v>
      </c>
      <c r="B32" s="200" t="s">
        <v>18</v>
      </c>
      <c r="C32" s="150">
        <v>0.35138888888888886</v>
      </c>
      <c r="D32" s="5"/>
      <c r="E32" s="150">
        <v>0.5569444444444445</v>
      </c>
      <c r="F32" s="5"/>
      <c r="G32" s="150">
        <v>0.6</v>
      </c>
      <c r="H32" s="5"/>
      <c r="I32" s="150">
        <v>0.7486111111111111</v>
      </c>
      <c r="J32" s="5"/>
      <c r="K32" s="12"/>
      <c r="L32" s="29">
        <v>0.0</v>
      </c>
      <c r="M32" s="13"/>
      <c r="N32" s="13"/>
      <c r="O32" s="13"/>
      <c r="P32" s="13"/>
    </row>
    <row r="33">
      <c r="A33" s="149">
        <v>26.0</v>
      </c>
      <c r="B33" s="200" t="s">
        <v>19</v>
      </c>
      <c r="C33" s="150">
        <v>0.35</v>
      </c>
      <c r="D33" s="5"/>
      <c r="E33" s="150">
        <v>0.5534722222222223</v>
      </c>
      <c r="F33" s="5"/>
      <c r="G33" s="150">
        <v>0.5986111111111111</v>
      </c>
      <c r="H33" s="5"/>
      <c r="I33" s="150">
        <v>0.7444444444444445</v>
      </c>
      <c r="J33" s="5"/>
      <c r="K33" s="12"/>
      <c r="L33" s="29">
        <v>0.0</v>
      </c>
      <c r="M33" s="93" t="s">
        <v>190</v>
      </c>
      <c r="N33" s="93">
        <v>-13.0</v>
      </c>
      <c r="O33" s="94">
        <v>0.013888888888888888</v>
      </c>
      <c r="P33" s="13"/>
    </row>
    <row r="34">
      <c r="A34" s="149">
        <v>27.0</v>
      </c>
      <c r="B34" s="203" t="s">
        <v>20</v>
      </c>
      <c r="C34" s="150">
        <v>0.3506944444444444</v>
      </c>
      <c r="D34" s="5"/>
      <c r="E34" s="150">
        <v>0.5625</v>
      </c>
      <c r="F34" s="5"/>
      <c r="G34" s="150">
        <v>0.6069444444444444</v>
      </c>
      <c r="H34" s="5"/>
      <c r="I34" s="150">
        <v>0.7430555555555556</v>
      </c>
      <c r="J34" s="5"/>
      <c r="K34" s="12"/>
      <c r="L34" s="29">
        <v>0.0</v>
      </c>
      <c r="M34" s="93" t="s">
        <v>190</v>
      </c>
      <c r="N34" s="93">
        <v>-13.0</v>
      </c>
      <c r="O34" s="94">
        <v>0.013888888888888888</v>
      </c>
      <c r="P34" s="44" t="s">
        <v>106</v>
      </c>
      <c r="Q34" s="44"/>
      <c r="R34" s="44"/>
      <c r="S34" s="44"/>
      <c r="T34" s="45"/>
      <c r="U34" s="44"/>
      <c r="V34" s="13"/>
    </row>
    <row r="35">
      <c r="A35" s="149">
        <v>28.0</v>
      </c>
      <c r="B35" s="200" t="s">
        <v>21</v>
      </c>
      <c r="C35" s="147" t="s">
        <v>103</v>
      </c>
      <c r="D35" s="5"/>
      <c r="E35" s="147" t="s">
        <v>103</v>
      </c>
      <c r="F35" s="5"/>
      <c r="G35" s="147" t="s">
        <v>103</v>
      </c>
      <c r="H35" s="5"/>
      <c r="I35" s="147" t="s">
        <v>103</v>
      </c>
      <c r="J35" s="5"/>
      <c r="K35" s="13"/>
      <c r="L35" s="29"/>
      <c r="M35" s="46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49">
        <v>29.0</v>
      </c>
      <c r="B36" s="200" t="s">
        <v>23</v>
      </c>
      <c r="C36" s="147" t="s">
        <v>103</v>
      </c>
      <c r="D36" s="5"/>
      <c r="E36" s="147" t="s">
        <v>103</v>
      </c>
      <c r="F36" s="5"/>
      <c r="G36" s="147" t="s">
        <v>103</v>
      </c>
      <c r="H36" s="5"/>
      <c r="I36" s="147" t="s">
        <v>103</v>
      </c>
      <c r="J36" s="5"/>
      <c r="K36" s="12"/>
      <c r="L36" s="29"/>
      <c r="M36" s="13"/>
      <c r="N36" s="13"/>
      <c r="O36" s="13"/>
      <c r="P36" s="13"/>
    </row>
    <row r="37">
      <c r="A37" s="163">
        <v>30.0</v>
      </c>
      <c r="B37" s="200" t="s">
        <v>202</v>
      </c>
      <c r="C37" s="151">
        <v>0.35138888888888886</v>
      </c>
      <c r="D37" s="5"/>
      <c r="E37" s="151">
        <v>0.5479166666666667</v>
      </c>
      <c r="F37" s="5"/>
      <c r="G37" s="151">
        <v>0.5944444444444444</v>
      </c>
      <c r="H37" s="5"/>
      <c r="I37" s="151">
        <v>0.7465277777777778</v>
      </c>
      <c r="J37" s="5"/>
      <c r="K37" s="12"/>
      <c r="L37" s="29">
        <v>0.0</v>
      </c>
      <c r="M37" s="29"/>
      <c r="N37" s="31"/>
      <c r="O37" s="29"/>
      <c r="P37" s="13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12"/>
      <c r="L38" s="13"/>
      <c r="M38" s="13"/>
      <c r="N38" s="13"/>
      <c r="O38" s="13"/>
      <c r="P38" s="13"/>
    </row>
    <row r="39">
      <c r="A39" s="107" t="s">
        <v>237</v>
      </c>
      <c r="B39" s="15"/>
      <c r="C39" s="15"/>
      <c r="D39" s="15"/>
      <c r="E39" s="15"/>
      <c r="F39" s="15"/>
      <c r="G39" s="15"/>
      <c r="H39" s="15"/>
      <c r="I39" s="15"/>
      <c r="J39" s="5"/>
      <c r="K39" s="6"/>
    </row>
    <row r="40">
      <c r="A40" s="107" t="s">
        <v>238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32" t="s">
        <v>239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>
      <c r="A43" s="139" t="s">
        <v>36</v>
      </c>
      <c r="B43" s="137"/>
      <c r="C43" s="140" t="s">
        <v>37</v>
      </c>
      <c r="D43" s="137"/>
      <c r="F43" s="137"/>
      <c r="H43" s="137"/>
      <c r="I43" s="137"/>
      <c r="J43" s="138"/>
      <c r="K43" s="6"/>
    </row>
    <row r="44">
      <c r="A44" s="58"/>
      <c r="B44" s="59"/>
      <c r="C44" s="59"/>
      <c r="D44" s="59"/>
      <c r="E44" s="11"/>
      <c r="F44" s="59"/>
      <c r="G44" s="11"/>
      <c r="H44" s="59"/>
      <c r="I44" s="59"/>
      <c r="J44" s="60"/>
      <c r="K44" s="6"/>
    </row>
  </sheetData>
  <mergeCells count="140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C25:D25"/>
    <mergeCell ref="E25:F25"/>
    <mergeCell ref="G25:H25"/>
    <mergeCell ref="I25:J25"/>
    <mergeCell ref="C26:J26"/>
    <mergeCell ref="C27:D27"/>
    <mergeCell ref="E27:F27"/>
    <mergeCell ref="G27:H27"/>
    <mergeCell ref="I27:J27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4:E44"/>
    <mergeCell ref="F44:G44"/>
    <mergeCell ref="A38:J38"/>
    <mergeCell ref="A39:J39"/>
    <mergeCell ref="A40:J40"/>
    <mergeCell ref="A41:J41"/>
    <mergeCell ref="F42:G42"/>
    <mergeCell ref="D43:E43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E28:F28"/>
    <mergeCell ref="G28:H28"/>
    <mergeCell ref="C36:D36"/>
    <mergeCell ref="C37:D37"/>
    <mergeCell ref="E37:F37"/>
    <mergeCell ref="G37:H37"/>
    <mergeCell ref="I37:J37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  <col customWidth="1" min="11" max="11" width="9.75"/>
    <col customWidth="1" min="16" max="16" width="9.5"/>
  </cols>
  <sheetData>
    <row r="1">
      <c r="A1" s="61" t="s">
        <v>0</v>
      </c>
      <c r="B1" s="3"/>
      <c r="C1" s="62" t="s">
        <v>1</v>
      </c>
      <c r="D1" s="3"/>
      <c r="E1" s="3"/>
      <c r="F1" s="3"/>
      <c r="G1" s="3"/>
      <c r="H1" s="3"/>
      <c r="I1" s="63" t="s">
        <v>2</v>
      </c>
      <c r="J1" s="5"/>
      <c r="K1" s="6"/>
    </row>
    <row r="2">
      <c r="A2" s="7"/>
      <c r="C2" s="7"/>
      <c r="I2" s="63" t="s">
        <v>3</v>
      </c>
      <c r="J2" s="5"/>
      <c r="K2" s="6"/>
    </row>
    <row r="3">
      <c r="A3" s="7"/>
      <c r="C3" s="7"/>
      <c r="I3" s="63" t="s">
        <v>4</v>
      </c>
      <c r="J3" s="5"/>
      <c r="K3" s="6"/>
    </row>
    <row r="4">
      <c r="A4" s="66" t="s">
        <v>5</v>
      </c>
      <c r="B4" s="67" t="s">
        <v>181</v>
      </c>
      <c r="C4" s="15"/>
      <c r="D4" s="15"/>
      <c r="E4" s="15"/>
      <c r="F4" s="15"/>
      <c r="G4" s="68"/>
      <c r="H4" s="3"/>
      <c r="I4" s="68"/>
      <c r="J4" s="69"/>
      <c r="K4" s="6"/>
    </row>
    <row r="5">
      <c r="A5" s="70" t="s">
        <v>7</v>
      </c>
      <c r="B5" s="71" t="s">
        <v>41</v>
      </c>
      <c r="C5" s="3"/>
      <c r="D5" s="3"/>
      <c r="E5" s="3"/>
      <c r="F5" s="72" t="s">
        <v>9</v>
      </c>
      <c r="G5" s="73"/>
      <c r="H5" s="74"/>
      <c r="I5" s="74"/>
      <c r="J5" s="74"/>
      <c r="K5" s="6"/>
      <c r="L5" s="13"/>
      <c r="M5" s="13"/>
      <c r="N5" s="13"/>
      <c r="O5" s="13"/>
      <c r="P5" s="13"/>
    </row>
    <row r="6">
      <c r="A6" s="75" t="s">
        <v>10</v>
      </c>
      <c r="B6" s="123" t="s">
        <v>236</v>
      </c>
      <c r="C6" s="15"/>
      <c r="D6" s="15"/>
      <c r="E6" s="1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6"/>
      <c r="L7" s="13"/>
      <c r="M7" s="13"/>
      <c r="N7" s="13"/>
      <c r="O7" s="13"/>
      <c r="P7" s="13"/>
    </row>
    <row r="8">
      <c r="A8" s="205">
        <v>1.0</v>
      </c>
      <c r="B8" s="158" t="s">
        <v>23</v>
      </c>
      <c r="C8" s="181" t="s">
        <v>103</v>
      </c>
      <c r="D8" s="15"/>
      <c r="E8" s="181" t="s">
        <v>103</v>
      </c>
      <c r="F8" s="15"/>
      <c r="G8" s="181" t="s">
        <v>103</v>
      </c>
      <c r="H8" s="15"/>
      <c r="I8" s="181" t="s">
        <v>103</v>
      </c>
      <c r="J8" s="5"/>
      <c r="K8" s="6"/>
      <c r="L8" s="13"/>
      <c r="M8" s="13"/>
      <c r="N8" s="13"/>
      <c r="O8" s="13"/>
      <c r="P8" s="13"/>
      <c r="Q8" s="13"/>
      <c r="R8" s="13"/>
    </row>
    <row r="9">
      <c r="A9" s="206">
        <v>2.0</v>
      </c>
      <c r="B9" s="159" t="s">
        <v>202</v>
      </c>
      <c r="C9" s="181" t="s">
        <v>161</v>
      </c>
      <c r="D9" s="15"/>
      <c r="E9" s="15"/>
      <c r="F9" s="15"/>
      <c r="G9" s="15"/>
      <c r="H9" s="15"/>
      <c r="I9" s="15"/>
      <c r="J9" s="5"/>
      <c r="K9" s="145"/>
      <c r="L9" s="29" t="s">
        <v>240</v>
      </c>
      <c r="M9" s="29"/>
      <c r="N9" s="13"/>
      <c r="O9" s="13"/>
      <c r="P9" s="13"/>
      <c r="Q9" s="13"/>
      <c r="R9" s="13"/>
    </row>
    <row r="10">
      <c r="A10" s="206">
        <v>3.0</v>
      </c>
      <c r="B10" s="155" t="s">
        <v>25</v>
      </c>
      <c r="C10" s="151">
        <v>0.35138888888888886</v>
      </c>
      <c r="D10" s="15"/>
      <c r="E10" s="151">
        <v>0.5527777777777778</v>
      </c>
      <c r="F10" s="15"/>
      <c r="G10" s="151">
        <v>0.5881944444444445</v>
      </c>
      <c r="H10" s="15"/>
      <c r="I10" s="151">
        <v>0.7465277777777778</v>
      </c>
      <c r="J10" s="5"/>
      <c r="K10" s="6"/>
      <c r="L10" s="29">
        <v>8.0</v>
      </c>
      <c r="M10" s="29">
        <v>30.0</v>
      </c>
      <c r="N10" s="13"/>
      <c r="O10" s="13"/>
      <c r="P10" s="13"/>
      <c r="Q10" s="13"/>
      <c r="R10" s="13"/>
    </row>
    <row r="11">
      <c r="A11" s="206">
        <v>4.0</v>
      </c>
      <c r="B11" s="158" t="s">
        <v>18</v>
      </c>
      <c r="C11" s="151">
        <v>0.35138888888888886</v>
      </c>
      <c r="D11" s="15"/>
      <c r="E11" s="151">
        <v>0.5409722222222222</v>
      </c>
      <c r="F11" s="15"/>
      <c r="G11" s="151">
        <v>0.5819444444444445</v>
      </c>
      <c r="H11" s="15"/>
      <c r="I11" s="151">
        <v>0.7451388888888889</v>
      </c>
      <c r="J11" s="5"/>
      <c r="K11" s="6"/>
      <c r="L11" s="29">
        <v>0.0</v>
      </c>
      <c r="M11" s="29">
        <v>30.0</v>
      </c>
      <c r="N11" s="13"/>
      <c r="O11" s="13"/>
      <c r="P11" s="13"/>
      <c r="Q11" s="13"/>
      <c r="R11" s="13"/>
    </row>
    <row r="12">
      <c r="A12" s="206">
        <v>5.0</v>
      </c>
      <c r="B12" s="155" t="s">
        <v>19</v>
      </c>
      <c r="C12" s="151">
        <v>0.34930555555555554</v>
      </c>
      <c r="D12" s="15"/>
      <c r="E12" s="151">
        <v>0.5409722222222222</v>
      </c>
      <c r="F12" s="15"/>
      <c r="G12" s="151">
        <v>0.5763888888888888</v>
      </c>
      <c r="H12" s="15"/>
      <c r="I12" s="151">
        <v>0.7416666666666667</v>
      </c>
      <c r="J12" s="5"/>
      <c r="K12" s="6"/>
      <c r="L12" s="29">
        <v>0.0</v>
      </c>
      <c r="M12" s="29">
        <v>30.0</v>
      </c>
      <c r="N12" s="13"/>
      <c r="O12" s="13"/>
      <c r="P12" s="13"/>
      <c r="Q12" s="13"/>
      <c r="R12" s="13"/>
    </row>
    <row r="13">
      <c r="A13" s="206">
        <v>6.0</v>
      </c>
      <c r="B13" s="155" t="s">
        <v>20</v>
      </c>
      <c r="C13" s="150">
        <v>0.3527777777777778</v>
      </c>
      <c r="D13" s="15"/>
      <c r="E13" s="150">
        <v>0.4895833333333333</v>
      </c>
      <c r="F13" s="15"/>
      <c r="G13" s="150">
        <v>0.5430555555555555</v>
      </c>
      <c r="H13" s="15"/>
      <c r="I13" s="150">
        <v>0.7423611111111111</v>
      </c>
      <c r="J13" s="5"/>
      <c r="K13" s="6"/>
      <c r="L13" s="29">
        <v>-26.0</v>
      </c>
      <c r="M13" s="29">
        <v>30.0</v>
      </c>
      <c r="N13" s="93" t="s">
        <v>190</v>
      </c>
      <c r="O13" s="189">
        <v>-0.35138888888888886</v>
      </c>
      <c r="P13" s="94">
        <v>0.08333333333333333</v>
      </c>
      <c r="Q13" s="29" t="s">
        <v>106</v>
      </c>
      <c r="R13" s="13"/>
    </row>
    <row r="14">
      <c r="A14" s="206">
        <v>7.0</v>
      </c>
      <c r="B14" s="155" t="s">
        <v>21</v>
      </c>
      <c r="C14" s="150">
        <v>0.3326388888888889</v>
      </c>
      <c r="D14" s="15"/>
      <c r="E14" s="147" t="s">
        <v>103</v>
      </c>
      <c r="F14" s="15"/>
      <c r="G14" s="147" t="s">
        <v>103</v>
      </c>
      <c r="H14" s="15"/>
      <c r="I14" s="150">
        <v>0.5006944444444444</v>
      </c>
      <c r="J14" s="5"/>
      <c r="K14" s="6"/>
      <c r="L14" s="29"/>
      <c r="M14" s="29"/>
      <c r="N14" s="13"/>
      <c r="O14" s="13"/>
      <c r="P14" s="13"/>
      <c r="Q14" s="13"/>
      <c r="R14" s="13"/>
    </row>
    <row r="15">
      <c r="A15" s="206">
        <v>8.0</v>
      </c>
      <c r="B15" s="158" t="s">
        <v>29</v>
      </c>
      <c r="C15" s="147" t="s">
        <v>103</v>
      </c>
      <c r="D15" s="15"/>
      <c r="E15" s="147" t="s">
        <v>103</v>
      </c>
      <c r="F15" s="15"/>
      <c r="G15" s="147" t="s">
        <v>103</v>
      </c>
      <c r="H15" s="15"/>
      <c r="I15" s="147" t="s">
        <v>103</v>
      </c>
      <c r="J15" s="5"/>
      <c r="K15" s="6"/>
      <c r="L15" s="29"/>
      <c r="M15" s="29"/>
      <c r="N15" s="13"/>
      <c r="O15" s="13"/>
      <c r="P15" s="13"/>
      <c r="Q15" s="13"/>
      <c r="R15" s="13"/>
    </row>
    <row r="16">
      <c r="A16" s="206">
        <v>9.0</v>
      </c>
      <c r="B16" s="159" t="s">
        <v>202</v>
      </c>
      <c r="C16" s="151">
        <v>0.3506944444444444</v>
      </c>
      <c r="D16" s="15"/>
      <c r="E16" s="151">
        <v>0.5409722222222222</v>
      </c>
      <c r="F16" s="15"/>
      <c r="G16" s="151">
        <v>0.5819444444444445</v>
      </c>
      <c r="H16" s="15"/>
      <c r="I16" s="181" t="s">
        <v>103</v>
      </c>
      <c r="J16" s="5"/>
      <c r="K16" s="6"/>
      <c r="L16" s="29">
        <v>0.0</v>
      </c>
      <c r="M16" s="29">
        <v>30.0</v>
      </c>
      <c r="N16" s="13"/>
      <c r="O16" s="13"/>
      <c r="P16" s="13"/>
      <c r="Q16" s="13"/>
      <c r="R16" s="13"/>
    </row>
    <row r="17">
      <c r="A17" s="206">
        <v>10.0</v>
      </c>
      <c r="B17" s="155" t="s">
        <v>58</v>
      </c>
      <c r="C17" s="150">
        <v>0.34930555555555554</v>
      </c>
      <c r="D17" s="15"/>
      <c r="E17" s="150">
        <v>0.5444444444444444</v>
      </c>
      <c r="F17" s="15"/>
      <c r="G17" s="150">
        <v>0.5826388888888889</v>
      </c>
      <c r="H17" s="15"/>
      <c r="I17" s="150">
        <v>0.74375</v>
      </c>
      <c r="J17" s="5"/>
      <c r="K17" s="6"/>
      <c r="L17" s="29">
        <v>0.0</v>
      </c>
      <c r="M17" s="29">
        <v>30.0</v>
      </c>
      <c r="N17" s="13"/>
      <c r="O17" s="13"/>
      <c r="P17" s="13"/>
      <c r="Q17" s="13"/>
      <c r="R17" s="13"/>
    </row>
    <row r="18">
      <c r="A18" s="206">
        <v>11.0</v>
      </c>
      <c r="B18" s="158" t="s">
        <v>18</v>
      </c>
      <c r="C18" s="150">
        <v>0.34930555555555554</v>
      </c>
      <c r="D18" s="15"/>
      <c r="E18" s="150">
        <v>0.5409722222222222</v>
      </c>
      <c r="F18" s="15"/>
      <c r="G18" s="150">
        <v>0.5791666666666667</v>
      </c>
      <c r="H18" s="15"/>
      <c r="I18" s="150">
        <v>0.7472222222222222</v>
      </c>
      <c r="J18" s="5"/>
      <c r="K18" s="6"/>
      <c r="L18" s="29">
        <v>8.0</v>
      </c>
      <c r="M18" s="29">
        <v>30.0</v>
      </c>
      <c r="N18" s="13"/>
      <c r="O18" s="35"/>
      <c r="P18" s="13"/>
      <c r="Q18" s="13"/>
      <c r="R18" s="13"/>
    </row>
    <row r="19">
      <c r="A19" s="206">
        <v>12.0</v>
      </c>
      <c r="B19" s="159" t="s">
        <v>19</v>
      </c>
      <c r="C19" s="150">
        <v>0.3576388888888889</v>
      </c>
      <c r="D19" s="15"/>
      <c r="E19" s="150">
        <v>0.5402777777777777</v>
      </c>
      <c r="F19" s="15"/>
      <c r="G19" s="150">
        <v>0.5840277777777778</v>
      </c>
      <c r="H19" s="15"/>
      <c r="I19" s="150">
        <v>0.7423611111111111</v>
      </c>
      <c r="J19" s="5"/>
      <c r="K19" s="6"/>
      <c r="L19" s="29">
        <v>-13.0</v>
      </c>
      <c r="M19" s="29">
        <v>30.0</v>
      </c>
      <c r="N19" s="93" t="s">
        <v>190</v>
      </c>
      <c r="O19" s="189">
        <v>-0.36041666666666666</v>
      </c>
      <c r="P19" s="94">
        <v>0.16666666666666666</v>
      </c>
      <c r="Q19" s="13"/>
      <c r="R19" s="13"/>
    </row>
    <row r="20">
      <c r="A20" s="206">
        <v>13.0</v>
      </c>
      <c r="B20" s="159" t="s">
        <v>20</v>
      </c>
      <c r="C20" s="150">
        <v>0.35208333333333336</v>
      </c>
      <c r="D20" s="15"/>
      <c r="E20" s="150">
        <v>0.5409722222222222</v>
      </c>
      <c r="F20" s="15"/>
      <c r="G20" s="150">
        <v>0.5826388888888889</v>
      </c>
      <c r="H20" s="15"/>
      <c r="I20" s="150">
        <v>0.7430555555555556</v>
      </c>
      <c r="J20" s="5"/>
      <c r="K20" s="6"/>
      <c r="L20" s="29">
        <v>-7.0</v>
      </c>
      <c r="M20" s="29">
        <v>30.0</v>
      </c>
      <c r="N20" s="13"/>
      <c r="O20" s="13"/>
      <c r="P20" s="13"/>
      <c r="Q20" s="13"/>
      <c r="R20" s="13"/>
    </row>
    <row r="21">
      <c r="A21" s="206">
        <v>14.0</v>
      </c>
      <c r="B21" s="155" t="s">
        <v>21</v>
      </c>
      <c r="C21" s="150">
        <v>0.3326388888888889</v>
      </c>
      <c r="D21" s="15"/>
      <c r="E21" s="147" t="s">
        <v>103</v>
      </c>
      <c r="F21" s="15"/>
      <c r="G21" s="147" t="s">
        <v>103</v>
      </c>
      <c r="H21" s="15"/>
      <c r="I21" s="150">
        <v>0.4986111111111111</v>
      </c>
      <c r="J21" s="5"/>
      <c r="K21" s="124"/>
      <c r="L21" s="29">
        <v>0.0</v>
      </c>
      <c r="M21" s="29"/>
      <c r="N21" s="13"/>
      <c r="O21" s="13"/>
      <c r="P21" s="13"/>
      <c r="Q21" s="13"/>
      <c r="R21" s="13"/>
    </row>
    <row r="22">
      <c r="A22" s="206">
        <v>15.0</v>
      </c>
      <c r="B22" s="158" t="s">
        <v>29</v>
      </c>
      <c r="C22" s="147" t="s">
        <v>103</v>
      </c>
      <c r="D22" s="15"/>
      <c r="E22" s="147" t="s">
        <v>103</v>
      </c>
      <c r="F22" s="15"/>
      <c r="G22" s="147" t="s">
        <v>103</v>
      </c>
      <c r="H22" s="15"/>
      <c r="I22" s="147" t="s">
        <v>103</v>
      </c>
      <c r="J22" s="5"/>
      <c r="K22" s="6"/>
      <c r="L22" s="29"/>
      <c r="M22" s="29"/>
      <c r="N22" s="29"/>
      <c r="O22" s="31"/>
      <c r="P22" s="35"/>
      <c r="Q22" s="13"/>
      <c r="R22" s="13"/>
    </row>
    <row r="23">
      <c r="A23" s="206">
        <v>16.0</v>
      </c>
      <c r="B23" s="159" t="s">
        <v>202</v>
      </c>
      <c r="C23" s="151">
        <v>0.35138888888888886</v>
      </c>
      <c r="D23" s="15"/>
      <c r="E23" s="151">
        <v>0.5423611111111111</v>
      </c>
      <c r="F23" s="15"/>
      <c r="G23" s="151">
        <v>0.5805555555555556</v>
      </c>
      <c r="H23" s="15"/>
      <c r="I23" s="151">
        <v>0.7451388888888889</v>
      </c>
      <c r="J23" s="5"/>
      <c r="K23" s="6"/>
      <c r="L23" s="29">
        <v>0.0</v>
      </c>
      <c r="M23" s="29">
        <v>30.0</v>
      </c>
      <c r="N23" s="13"/>
      <c r="O23" s="13"/>
      <c r="P23" s="13"/>
      <c r="Q23" s="13"/>
      <c r="R23" s="13"/>
    </row>
    <row r="24">
      <c r="A24" s="206">
        <v>17.0</v>
      </c>
      <c r="B24" s="155" t="s">
        <v>25</v>
      </c>
      <c r="C24" s="150">
        <v>0.34930555555555554</v>
      </c>
      <c r="D24" s="15"/>
      <c r="E24" s="150">
        <v>0.5409722222222222</v>
      </c>
      <c r="F24" s="15"/>
      <c r="G24" s="150">
        <v>0.5819444444444445</v>
      </c>
      <c r="H24" s="15"/>
      <c r="I24" s="150">
        <v>0.7458333333333333</v>
      </c>
      <c r="J24" s="5"/>
      <c r="K24" s="6"/>
      <c r="L24" s="29">
        <v>0.0</v>
      </c>
      <c r="M24" s="29">
        <v>30.0</v>
      </c>
      <c r="N24" s="13"/>
      <c r="O24" s="13"/>
      <c r="P24" s="13"/>
      <c r="Q24" s="13"/>
      <c r="R24" s="13"/>
    </row>
    <row r="25">
      <c r="A25" s="206">
        <v>18.0</v>
      </c>
      <c r="B25" s="158" t="s">
        <v>18</v>
      </c>
      <c r="C25" s="150">
        <v>0.35</v>
      </c>
      <c r="D25" s="5"/>
      <c r="E25" s="147" t="s">
        <v>103</v>
      </c>
      <c r="F25" s="5"/>
      <c r="G25" s="147" t="s">
        <v>103</v>
      </c>
      <c r="H25" s="5"/>
      <c r="I25" s="150">
        <v>0.4173611111111111</v>
      </c>
      <c r="J25" s="5"/>
      <c r="K25" s="207"/>
      <c r="L25" s="37">
        <v>-0.2326388888888889</v>
      </c>
      <c r="M25" s="13"/>
      <c r="N25" s="93" t="s">
        <v>190</v>
      </c>
      <c r="O25" s="189">
        <v>-0.6569444444444444</v>
      </c>
      <c r="P25" s="94">
        <v>0.22916666666666666</v>
      </c>
      <c r="Q25" s="13"/>
      <c r="R25" s="13"/>
    </row>
    <row r="26">
      <c r="A26" s="206">
        <v>19.0</v>
      </c>
      <c r="B26" s="159" t="s">
        <v>26</v>
      </c>
      <c r="C26" s="181" t="s">
        <v>150</v>
      </c>
      <c r="D26" s="15"/>
      <c r="E26" s="15"/>
      <c r="F26" s="15"/>
      <c r="G26" s="15"/>
      <c r="H26" s="15"/>
      <c r="I26" s="15"/>
      <c r="J26" s="5"/>
      <c r="K26" s="127"/>
      <c r="L26" s="29"/>
      <c r="M26" s="29"/>
      <c r="N26" s="29"/>
      <c r="O26" s="31"/>
      <c r="P26" s="35"/>
      <c r="Q26" s="13"/>
      <c r="R26" s="13"/>
    </row>
    <row r="27">
      <c r="A27" s="206">
        <v>20.0</v>
      </c>
      <c r="B27" s="159" t="s">
        <v>20</v>
      </c>
      <c r="C27" s="150">
        <v>0.35</v>
      </c>
      <c r="D27" s="5"/>
      <c r="E27" s="150">
        <v>0.5409722222222222</v>
      </c>
      <c r="F27" s="5"/>
      <c r="G27" s="150">
        <v>0.5826388888888889</v>
      </c>
      <c r="H27" s="5"/>
      <c r="I27" s="150">
        <v>0.7430555555555556</v>
      </c>
      <c r="J27" s="5"/>
      <c r="K27" s="6"/>
      <c r="L27" s="29">
        <v>0.0</v>
      </c>
      <c r="M27" s="29">
        <v>30.0</v>
      </c>
      <c r="N27" s="13"/>
      <c r="O27" s="13"/>
      <c r="P27" s="13"/>
      <c r="Q27" s="13"/>
      <c r="R27" s="29" t="s">
        <v>241</v>
      </c>
      <c r="T27" s="142" t="s">
        <v>242</v>
      </c>
    </row>
    <row r="28">
      <c r="A28" s="206">
        <v>21.0</v>
      </c>
      <c r="B28" s="158" t="s">
        <v>21</v>
      </c>
      <c r="C28" s="150">
        <v>0.3298611111111111</v>
      </c>
      <c r="D28" s="5"/>
      <c r="E28" s="147" t="s">
        <v>103</v>
      </c>
      <c r="F28" s="5"/>
      <c r="G28" s="147" t="s">
        <v>103</v>
      </c>
      <c r="H28" s="5"/>
      <c r="I28" s="150">
        <v>0.4951388888888889</v>
      </c>
      <c r="J28" s="5"/>
      <c r="K28" s="6"/>
      <c r="L28" s="29">
        <v>0.0</v>
      </c>
      <c r="M28" s="29"/>
      <c r="N28" s="31"/>
      <c r="O28" s="191"/>
      <c r="P28" s="97"/>
      <c r="Q28" s="13"/>
      <c r="R28" s="13"/>
      <c r="T28" s="41">
        <v>0.06944444444444445</v>
      </c>
    </row>
    <row r="29">
      <c r="A29" s="206">
        <v>22.0</v>
      </c>
      <c r="B29" s="159" t="s">
        <v>23</v>
      </c>
      <c r="C29" s="147" t="s">
        <v>103</v>
      </c>
      <c r="D29" s="5"/>
      <c r="E29" s="147" t="s">
        <v>103</v>
      </c>
      <c r="F29" s="5"/>
      <c r="G29" s="147" t="s">
        <v>103</v>
      </c>
      <c r="H29" s="5"/>
      <c r="I29" s="147" t="s">
        <v>103</v>
      </c>
      <c r="J29" s="5"/>
      <c r="K29" s="6"/>
      <c r="L29" s="29"/>
      <c r="M29" s="29"/>
      <c r="N29" s="13"/>
      <c r="O29" s="13"/>
      <c r="P29" s="13"/>
      <c r="Q29" s="13"/>
      <c r="R29" s="13"/>
    </row>
    <row r="30">
      <c r="A30" s="206">
        <v>23.0</v>
      </c>
      <c r="B30" s="159" t="s">
        <v>202</v>
      </c>
      <c r="C30" s="151">
        <v>0.35208333333333336</v>
      </c>
      <c r="D30" s="5"/>
      <c r="E30" s="151">
        <v>0.5416666666666666</v>
      </c>
      <c r="F30" s="5"/>
      <c r="G30" s="151">
        <v>0.5847222222222223</v>
      </c>
      <c r="H30" s="5"/>
      <c r="I30" s="151">
        <v>0.7451388888888889</v>
      </c>
      <c r="J30" s="5"/>
      <c r="K30" s="6"/>
      <c r="L30" s="29">
        <v>-6.0</v>
      </c>
      <c r="M30" s="29">
        <v>30.0</v>
      </c>
      <c r="N30" s="13"/>
      <c r="O30" s="13"/>
      <c r="P30" s="13"/>
      <c r="Q30" s="13"/>
      <c r="R30" s="13"/>
    </row>
    <row r="31">
      <c r="A31" s="206">
        <v>24.0</v>
      </c>
      <c r="B31" s="158" t="s">
        <v>58</v>
      </c>
      <c r="C31" s="181" t="s">
        <v>161</v>
      </c>
      <c r="D31" s="15"/>
      <c r="E31" s="15"/>
      <c r="F31" s="15"/>
      <c r="G31" s="15"/>
      <c r="H31" s="15"/>
      <c r="I31" s="15"/>
      <c r="J31" s="5"/>
      <c r="K31" s="6"/>
      <c r="L31" s="29" t="s">
        <v>240</v>
      </c>
      <c r="M31" s="29"/>
      <c r="N31" s="29"/>
      <c r="O31" s="31"/>
      <c r="P31" s="35"/>
      <c r="Q31" s="13"/>
      <c r="R31" s="13"/>
    </row>
    <row r="32">
      <c r="A32" s="206">
        <v>25.0</v>
      </c>
      <c r="B32" s="159" t="s">
        <v>18</v>
      </c>
      <c r="C32" s="150">
        <v>0.35138888888888886</v>
      </c>
      <c r="D32" s="15"/>
      <c r="E32" s="150">
        <v>0.5402777777777777</v>
      </c>
      <c r="F32" s="15"/>
      <c r="G32" s="150">
        <v>0.5819444444444445</v>
      </c>
      <c r="H32" s="15"/>
      <c r="I32" s="150">
        <v>0.7486111111111111</v>
      </c>
      <c r="J32" s="5"/>
      <c r="K32" s="6"/>
      <c r="L32" s="29">
        <v>0.0</v>
      </c>
      <c r="M32" s="29">
        <v>30.0</v>
      </c>
      <c r="N32" s="13"/>
      <c r="O32" s="13"/>
      <c r="P32" s="13"/>
      <c r="Q32" s="13"/>
      <c r="R32" s="13"/>
    </row>
    <row r="33">
      <c r="A33" s="206">
        <v>26.0</v>
      </c>
      <c r="B33" s="159" t="s">
        <v>19</v>
      </c>
      <c r="C33" s="150">
        <v>0.35</v>
      </c>
      <c r="D33" s="15"/>
      <c r="E33" s="150">
        <v>0.5416666666666666</v>
      </c>
      <c r="F33" s="15"/>
      <c r="G33" s="150">
        <v>0.5826388888888889</v>
      </c>
      <c r="H33" s="15"/>
      <c r="I33" s="150">
        <v>0.7423611111111111</v>
      </c>
      <c r="J33" s="5"/>
      <c r="K33" s="124"/>
      <c r="L33" s="29">
        <v>0.0</v>
      </c>
      <c r="M33" s="29">
        <v>30.0</v>
      </c>
      <c r="N33" s="93" t="s">
        <v>190</v>
      </c>
      <c r="O33" s="189">
        <v>-0.9944444444444445</v>
      </c>
      <c r="P33" s="94">
        <v>0.3125</v>
      </c>
      <c r="Q33" s="13"/>
      <c r="R33" s="13"/>
    </row>
    <row r="34">
      <c r="A34" s="208">
        <v>27.0</v>
      </c>
      <c r="B34" s="209" t="s">
        <v>20</v>
      </c>
      <c r="C34" s="150">
        <v>0.3506944444444444</v>
      </c>
      <c r="D34" s="15"/>
      <c r="E34" s="150">
        <v>0.5409722222222222</v>
      </c>
      <c r="F34" s="15"/>
      <c r="G34" s="150">
        <v>0.5826388888888889</v>
      </c>
      <c r="H34" s="15"/>
      <c r="I34" s="150">
        <v>0.7416666666666667</v>
      </c>
      <c r="J34" s="5"/>
      <c r="K34" s="124"/>
      <c r="L34" s="29">
        <v>-7.0</v>
      </c>
      <c r="M34" s="29">
        <v>30.0</v>
      </c>
      <c r="N34" s="13"/>
      <c r="O34" s="13"/>
      <c r="P34" s="13"/>
      <c r="Q34" s="13"/>
      <c r="R34" s="13"/>
    </row>
    <row r="35">
      <c r="A35" s="149">
        <v>28.0</v>
      </c>
      <c r="B35" s="159" t="s">
        <v>21</v>
      </c>
      <c r="C35" s="150">
        <v>0.3298611111111111</v>
      </c>
      <c r="D35" s="15"/>
      <c r="E35" s="147" t="s">
        <v>103</v>
      </c>
      <c r="F35" s="15"/>
      <c r="G35" s="147" t="s">
        <v>103</v>
      </c>
      <c r="H35" s="15"/>
      <c r="I35" s="150">
        <v>0.49236111111111114</v>
      </c>
      <c r="J35" s="5"/>
      <c r="K35" s="124"/>
      <c r="L35" s="29">
        <v>-6.0</v>
      </c>
      <c r="M35" s="29"/>
      <c r="N35" s="93" t="s">
        <v>190</v>
      </c>
      <c r="O35" s="189">
        <v>-1.0034722222222223</v>
      </c>
      <c r="P35" s="94">
        <v>0.3333333333333333</v>
      </c>
      <c r="Q35" s="13"/>
      <c r="R35" s="13"/>
    </row>
    <row r="36">
      <c r="A36" s="149">
        <v>29.0</v>
      </c>
      <c r="B36" s="159" t="s">
        <v>23</v>
      </c>
      <c r="C36" s="147" t="s">
        <v>103</v>
      </c>
      <c r="D36" s="15"/>
      <c r="E36" s="147" t="s">
        <v>103</v>
      </c>
      <c r="F36" s="15"/>
      <c r="G36" s="147" t="s">
        <v>103</v>
      </c>
      <c r="H36" s="15"/>
      <c r="I36" s="147" t="s">
        <v>103</v>
      </c>
      <c r="J36" s="5"/>
      <c r="K36" s="6"/>
      <c r="L36" s="29"/>
      <c r="M36" s="29"/>
      <c r="N36" s="29"/>
      <c r="O36" s="35"/>
      <c r="P36" s="13"/>
      <c r="Q36" s="13"/>
      <c r="R36" s="13"/>
    </row>
    <row r="37">
      <c r="A37" s="149">
        <v>30.0</v>
      </c>
      <c r="B37" s="159" t="s">
        <v>202</v>
      </c>
      <c r="C37" s="150">
        <v>0.34930555555555554</v>
      </c>
      <c r="D37" s="15"/>
      <c r="E37" s="150">
        <v>0.5409722222222222</v>
      </c>
      <c r="F37" s="15"/>
      <c r="G37" s="150">
        <v>0.5395833333333333</v>
      </c>
      <c r="H37" s="15"/>
      <c r="I37" s="150">
        <v>0.7472222222222222</v>
      </c>
      <c r="J37" s="5"/>
      <c r="K37" s="6"/>
      <c r="L37" s="29"/>
      <c r="M37" s="29">
        <v>30.0</v>
      </c>
      <c r="N37" s="93" t="s">
        <v>190</v>
      </c>
      <c r="O37" s="189">
        <v>-1.0034722222222223</v>
      </c>
      <c r="P37" s="94">
        <v>0.36527777777777776</v>
      </c>
      <c r="Q37" s="13"/>
      <c r="R37" s="13"/>
    </row>
    <row r="38">
      <c r="A38" s="210" t="s">
        <v>31</v>
      </c>
      <c r="B38" s="11"/>
      <c r="C38" s="11"/>
      <c r="D38" s="11"/>
      <c r="E38" s="11"/>
      <c r="F38" s="11"/>
      <c r="G38" s="11"/>
      <c r="H38" s="11"/>
      <c r="I38" s="11"/>
      <c r="J38" s="10"/>
      <c r="K38" s="6"/>
      <c r="L38" s="13"/>
      <c r="M38" s="13"/>
      <c r="N38" s="13"/>
      <c r="O38" s="13"/>
      <c r="P38" s="13"/>
      <c r="Q38" s="13"/>
      <c r="R38" s="13"/>
    </row>
    <row r="39">
      <c r="A39" s="107" t="s">
        <v>243</v>
      </c>
      <c r="B39" s="108"/>
      <c r="C39" s="108"/>
      <c r="D39" s="108"/>
      <c r="E39" s="15"/>
      <c r="F39" s="108"/>
      <c r="G39" s="15"/>
      <c r="H39" s="108"/>
      <c r="I39" s="108"/>
      <c r="J39" s="109"/>
      <c r="K39" s="6"/>
      <c r="L39" s="13"/>
      <c r="M39" s="13"/>
      <c r="N39" s="13"/>
      <c r="O39" s="13"/>
      <c r="P39" s="13"/>
    </row>
    <row r="40">
      <c r="A40" s="107" t="s">
        <v>244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  <c r="L40" s="13"/>
      <c r="M40" s="13"/>
      <c r="N40" s="35"/>
      <c r="O40" s="13"/>
      <c r="P40" s="13"/>
    </row>
    <row r="41">
      <c r="A41" s="107" t="s">
        <v>245</v>
      </c>
      <c r="B41" s="108"/>
      <c r="C41" s="108"/>
      <c r="D41" s="108"/>
      <c r="E41" s="15"/>
      <c r="F41" s="108"/>
      <c r="G41" s="15"/>
      <c r="H41" s="108"/>
      <c r="I41" s="108"/>
      <c r="J41" s="109"/>
      <c r="K41" s="12"/>
      <c r="L41" s="13"/>
      <c r="M41" s="13"/>
      <c r="N41" s="35"/>
      <c r="O41" s="13"/>
      <c r="P41" s="13"/>
    </row>
    <row r="42">
      <c r="A42" s="110" t="s">
        <v>35</v>
      </c>
      <c r="B42" s="111"/>
      <c r="C42" s="111"/>
      <c r="D42" s="111"/>
      <c r="E42" s="111"/>
      <c r="F42" s="112"/>
      <c r="H42" s="112"/>
      <c r="I42" s="112"/>
      <c r="J42" s="113"/>
      <c r="K42" s="6"/>
      <c r="L42" s="13"/>
      <c r="M42" s="13"/>
      <c r="N42" s="13"/>
      <c r="O42" s="13"/>
      <c r="P42" s="13"/>
    </row>
    <row r="43">
      <c r="A43" s="114" t="s">
        <v>36</v>
      </c>
      <c r="B43" s="115"/>
      <c r="C43" s="116" t="s">
        <v>37</v>
      </c>
      <c r="D43" s="115"/>
      <c r="F43" s="115"/>
      <c r="H43" s="115"/>
      <c r="I43" s="115"/>
      <c r="J43" s="117"/>
      <c r="L43" s="13"/>
      <c r="M43" s="13"/>
      <c r="N43" s="13"/>
      <c r="O43" s="13"/>
      <c r="P43" s="13"/>
    </row>
    <row r="44">
      <c r="A44" s="118"/>
      <c r="B44" s="119"/>
      <c r="C44" s="119"/>
      <c r="D44" s="119"/>
      <c r="E44" s="11"/>
      <c r="F44" s="119"/>
      <c r="G44" s="11"/>
      <c r="H44" s="119"/>
      <c r="I44" s="119"/>
      <c r="J44" s="120"/>
      <c r="O44" s="41"/>
    </row>
    <row r="48">
      <c r="C48" s="41"/>
    </row>
  </sheetData>
  <mergeCells count="137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G10:H10"/>
    <mergeCell ref="I10:J10"/>
    <mergeCell ref="C8:D8"/>
    <mergeCell ref="E8:F8"/>
    <mergeCell ref="G8:H8"/>
    <mergeCell ref="I8:J8"/>
    <mergeCell ref="C9:J9"/>
    <mergeCell ref="C10:D10"/>
    <mergeCell ref="E10:F10"/>
    <mergeCell ref="C11:D11"/>
    <mergeCell ref="E11:F11"/>
    <mergeCell ref="G11:H11"/>
    <mergeCell ref="I11:J11"/>
    <mergeCell ref="E12:F12"/>
    <mergeCell ref="G12:H12"/>
    <mergeCell ref="I12:J12"/>
    <mergeCell ref="G14:H14"/>
    <mergeCell ref="I14:J14"/>
    <mergeCell ref="G22:H22"/>
    <mergeCell ref="I22:J22"/>
    <mergeCell ref="G32:H32"/>
    <mergeCell ref="I32:J32"/>
    <mergeCell ref="C30:D30"/>
    <mergeCell ref="E30:F30"/>
    <mergeCell ref="G30:H30"/>
    <mergeCell ref="I30:J30"/>
    <mergeCell ref="C31:J31"/>
    <mergeCell ref="C32:D32"/>
    <mergeCell ref="E32:F32"/>
    <mergeCell ref="C33:D33"/>
    <mergeCell ref="E33:F33"/>
    <mergeCell ref="G33:H33"/>
    <mergeCell ref="I33:J33"/>
    <mergeCell ref="E34:F34"/>
    <mergeCell ref="G34:H34"/>
    <mergeCell ref="I34:J34"/>
    <mergeCell ref="G36:H36"/>
    <mergeCell ref="I36:J36"/>
    <mergeCell ref="C34:D34"/>
    <mergeCell ref="C35:D35"/>
    <mergeCell ref="E35:F35"/>
    <mergeCell ref="G35:H35"/>
    <mergeCell ref="I35:J35"/>
    <mergeCell ref="C36:D36"/>
    <mergeCell ref="E36:F36"/>
    <mergeCell ref="C37:D37"/>
    <mergeCell ref="E37:F37"/>
    <mergeCell ref="G37:H37"/>
    <mergeCell ref="I37:J37"/>
    <mergeCell ref="A38:J38"/>
    <mergeCell ref="D39:E39"/>
    <mergeCell ref="F39:G39"/>
    <mergeCell ref="D44:E44"/>
    <mergeCell ref="F44:G44"/>
    <mergeCell ref="D40:E40"/>
    <mergeCell ref="F40:G40"/>
    <mergeCell ref="D41:E41"/>
    <mergeCell ref="F41:G41"/>
    <mergeCell ref="F42:G42"/>
    <mergeCell ref="D43:E43"/>
    <mergeCell ref="F43:G43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E27:F27"/>
    <mergeCell ref="G27:H27"/>
    <mergeCell ref="C24:D24"/>
    <mergeCell ref="C25:D25"/>
    <mergeCell ref="E25:F25"/>
    <mergeCell ref="G25:H25"/>
    <mergeCell ref="I25:J25"/>
    <mergeCell ref="C26:J26"/>
    <mergeCell ref="I27:J27"/>
    <mergeCell ref="G29:H29"/>
    <mergeCell ref="I29:J29"/>
    <mergeCell ref="C27:D27"/>
    <mergeCell ref="C28:D28"/>
    <mergeCell ref="E28:F28"/>
    <mergeCell ref="G28:H28"/>
    <mergeCell ref="I28:J28"/>
    <mergeCell ref="C29:D29"/>
    <mergeCell ref="E29:F29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61" t="s">
        <v>0</v>
      </c>
      <c r="B1" s="2"/>
      <c r="C1" s="62" t="s">
        <v>1</v>
      </c>
      <c r="D1" s="3"/>
      <c r="E1" s="3"/>
      <c r="F1" s="3"/>
      <c r="G1" s="3"/>
      <c r="H1" s="2"/>
      <c r="I1" s="63" t="s">
        <v>2</v>
      </c>
      <c r="J1" s="5"/>
      <c r="K1" s="6"/>
    </row>
    <row r="2">
      <c r="A2" s="7"/>
      <c r="B2" s="8"/>
      <c r="C2" s="7"/>
      <c r="H2" s="8"/>
      <c r="I2" s="63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63" t="s">
        <v>4</v>
      </c>
      <c r="J3" s="5"/>
      <c r="K3" s="6"/>
    </row>
    <row r="4">
      <c r="A4" s="66" t="s">
        <v>5</v>
      </c>
      <c r="B4" s="63" t="s">
        <v>64</v>
      </c>
      <c r="C4" s="15"/>
      <c r="D4" s="15"/>
      <c r="E4" s="15"/>
      <c r="F4" s="5"/>
      <c r="G4" s="121"/>
      <c r="H4" s="5"/>
      <c r="I4" s="122"/>
      <c r="J4" s="122"/>
      <c r="K4" s="6"/>
    </row>
    <row r="5">
      <c r="A5" s="70" t="s">
        <v>7</v>
      </c>
      <c r="B5" s="123" t="s">
        <v>65</v>
      </c>
      <c r="C5" s="15"/>
      <c r="D5" s="15"/>
      <c r="E5" s="5"/>
      <c r="F5" s="72" t="s">
        <v>66</v>
      </c>
      <c r="G5" s="73"/>
      <c r="H5" s="74"/>
      <c r="I5" s="74"/>
      <c r="J5" s="74"/>
      <c r="K5" s="6"/>
    </row>
    <row r="6">
      <c r="A6" s="66" t="s">
        <v>10</v>
      </c>
      <c r="B6" s="123" t="s">
        <v>236</v>
      </c>
      <c r="C6" s="15"/>
      <c r="D6" s="15"/>
      <c r="E6" s="5"/>
      <c r="F6" s="76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  <c r="Q7" s="13"/>
      <c r="R7" s="13"/>
      <c r="S7" s="13"/>
    </row>
    <row r="8">
      <c r="A8" s="148">
        <v>1.0</v>
      </c>
      <c r="B8" s="158" t="s">
        <v>23</v>
      </c>
      <c r="C8" s="181" t="s">
        <v>103</v>
      </c>
      <c r="D8" s="5"/>
      <c r="E8" s="181" t="s">
        <v>103</v>
      </c>
      <c r="F8" s="5"/>
      <c r="G8" s="181" t="s">
        <v>103</v>
      </c>
      <c r="H8" s="5"/>
      <c r="I8" s="181" t="s">
        <v>103</v>
      </c>
      <c r="J8" s="5"/>
      <c r="K8" s="6"/>
      <c r="L8" s="13"/>
      <c r="M8" s="13"/>
      <c r="N8" s="13"/>
      <c r="O8" s="13"/>
      <c r="P8" s="13"/>
      <c r="Q8" s="13"/>
      <c r="R8" s="13"/>
      <c r="S8" s="13"/>
    </row>
    <row r="9">
      <c r="A9" s="149">
        <v>2.0</v>
      </c>
      <c r="B9" s="159" t="s">
        <v>202</v>
      </c>
      <c r="C9" s="151">
        <v>0.35208333333333336</v>
      </c>
      <c r="D9" s="5"/>
      <c r="E9" s="151">
        <v>0.5020833333333333</v>
      </c>
      <c r="F9" s="5"/>
      <c r="G9" s="151">
        <v>0.5430555555555555</v>
      </c>
      <c r="H9" s="5"/>
      <c r="I9" s="151">
        <v>0.7083333333333334</v>
      </c>
      <c r="J9" s="5"/>
      <c r="K9" s="6"/>
      <c r="L9" s="29">
        <v>0.0</v>
      </c>
      <c r="M9" s="29">
        <v>-30.0</v>
      </c>
      <c r="N9" s="13"/>
      <c r="O9" s="13"/>
      <c r="P9" s="13"/>
      <c r="Q9" s="13"/>
      <c r="R9" s="13"/>
      <c r="S9" s="13"/>
    </row>
    <row r="10">
      <c r="A10" s="149">
        <v>3.0</v>
      </c>
      <c r="B10" s="155" t="s">
        <v>25</v>
      </c>
      <c r="C10" s="150">
        <v>0.34930555555555554</v>
      </c>
      <c r="D10" s="5"/>
      <c r="E10" s="150">
        <v>0.5</v>
      </c>
      <c r="F10" s="5"/>
      <c r="G10" s="150">
        <v>0.5416666666666666</v>
      </c>
      <c r="H10" s="5"/>
      <c r="I10" s="150">
        <v>0.7083333333333334</v>
      </c>
      <c r="J10" s="5"/>
      <c r="K10" s="6"/>
      <c r="L10" s="29">
        <v>7.0</v>
      </c>
      <c r="M10" s="29">
        <v>-30.0</v>
      </c>
      <c r="N10" s="13"/>
      <c r="O10" s="13"/>
      <c r="P10" s="13"/>
      <c r="Q10" s="13"/>
      <c r="R10" s="13"/>
      <c r="S10" s="13"/>
    </row>
    <row r="11">
      <c r="A11" s="149">
        <v>4.0</v>
      </c>
      <c r="B11" s="158" t="s">
        <v>18</v>
      </c>
      <c r="C11" s="150">
        <v>0.35138888888888886</v>
      </c>
      <c r="D11" s="5"/>
      <c r="E11" s="150">
        <v>0.5</v>
      </c>
      <c r="F11" s="5"/>
      <c r="G11" s="150">
        <v>0.5416666666666666</v>
      </c>
      <c r="H11" s="5"/>
      <c r="I11" s="150">
        <v>0.7097222222222223</v>
      </c>
      <c r="J11" s="5"/>
      <c r="K11" s="6"/>
      <c r="L11" s="29">
        <v>0.0</v>
      </c>
      <c r="M11" s="29">
        <v>-30.0</v>
      </c>
      <c r="N11" s="13"/>
      <c r="O11" s="13"/>
      <c r="P11" s="13"/>
      <c r="Q11" s="13"/>
      <c r="R11" s="13"/>
      <c r="S11" s="13"/>
    </row>
    <row r="12">
      <c r="A12" s="149">
        <v>5.0</v>
      </c>
      <c r="B12" s="155" t="s">
        <v>19</v>
      </c>
      <c r="C12" s="150">
        <v>0.35833333333333334</v>
      </c>
      <c r="D12" s="5"/>
      <c r="E12" s="150">
        <v>0.5013888888888889</v>
      </c>
      <c r="F12" s="5"/>
      <c r="G12" s="150">
        <v>0.5416666666666666</v>
      </c>
      <c r="H12" s="5"/>
      <c r="I12" s="150">
        <v>0.7083333333333334</v>
      </c>
      <c r="J12" s="5"/>
      <c r="K12" s="6"/>
      <c r="L12" s="29">
        <v>0.0</v>
      </c>
      <c r="M12" s="29">
        <v>-30.0</v>
      </c>
      <c r="N12" s="13"/>
      <c r="O12" s="13"/>
      <c r="P12" s="13"/>
      <c r="Q12" s="13"/>
      <c r="R12" s="13"/>
      <c r="S12" s="13"/>
    </row>
    <row r="13">
      <c r="A13" s="149">
        <v>6.0</v>
      </c>
      <c r="B13" s="155" t="s">
        <v>20</v>
      </c>
      <c r="C13" s="150">
        <v>0.35347222222222224</v>
      </c>
      <c r="D13" s="5"/>
      <c r="E13" s="150">
        <v>0.5458333333333333</v>
      </c>
      <c r="F13" s="5"/>
      <c r="G13" s="150">
        <v>0.5875</v>
      </c>
      <c r="H13" s="5"/>
      <c r="I13" s="150">
        <v>0.7145833333333333</v>
      </c>
      <c r="J13" s="5"/>
      <c r="K13" s="6"/>
      <c r="L13" s="29">
        <v>10.0</v>
      </c>
      <c r="M13" s="29">
        <v>-30.0</v>
      </c>
      <c r="N13" s="93" t="s">
        <v>190</v>
      </c>
      <c r="O13" s="189">
        <v>-0.10416666666666667</v>
      </c>
      <c r="P13" s="94">
        <v>0.011805555555555555</v>
      </c>
      <c r="Q13" s="13"/>
      <c r="R13" s="13"/>
      <c r="S13" s="29" t="s">
        <v>106</v>
      </c>
    </row>
    <row r="14">
      <c r="A14" s="149">
        <v>7.0</v>
      </c>
      <c r="B14" s="155" t="s">
        <v>21</v>
      </c>
      <c r="C14" s="150">
        <v>0.3458333333333333</v>
      </c>
      <c r="D14" s="5"/>
      <c r="E14" s="147" t="s">
        <v>103</v>
      </c>
      <c r="F14" s="5"/>
      <c r="G14" s="147" t="s">
        <v>103</v>
      </c>
      <c r="H14" s="5"/>
      <c r="I14" s="150">
        <v>0.4965277777777778</v>
      </c>
      <c r="J14" s="5"/>
      <c r="K14" s="6"/>
      <c r="L14" s="29"/>
      <c r="M14" s="29"/>
      <c r="N14" s="13"/>
      <c r="O14" s="13"/>
      <c r="P14" s="13"/>
      <c r="Q14" s="13"/>
      <c r="R14" s="13"/>
      <c r="S14" s="13"/>
    </row>
    <row r="15">
      <c r="A15" s="149">
        <v>8.0</v>
      </c>
      <c r="B15" s="158" t="s">
        <v>29</v>
      </c>
      <c r="C15" s="147" t="s">
        <v>103</v>
      </c>
      <c r="D15" s="5"/>
      <c r="E15" s="181" t="s">
        <v>103</v>
      </c>
      <c r="F15" s="5"/>
      <c r="G15" s="181" t="s">
        <v>103</v>
      </c>
      <c r="H15" s="5"/>
      <c r="I15" s="181" t="s">
        <v>103</v>
      </c>
      <c r="J15" s="5"/>
      <c r="K15" s="6"/>
      <c r="L15" s="29"/>
      <c r="M15" s="29"/>
      <c r="N15" s="13"/>
      <c r="O15" s="13"/>
      <c r="P15" s="13"/>
      <c r="Q15" s="13"/>
      <c r="R15" s="13"/>
      <c r="S15" s="13"/>
    </row>
    <row r="16">
      <c r="A16" s="149">
        <v>9.0</v>
      </c>
      <c r="B16" s="159" t="s">
        <v>202</v>
      </c>
      <c r="C16" s="151">
        <v>0.3506944444444444</v>
      </c>
      <c r="D16" s="5"/>
      <c r="E16" s="151">
        <v>0.5152777777777777</v>
      </c>
      <c r="F16" s="5"/>
      <c r="G16" s="151">
        <v>0.5569444444444445</v>
      </c>
      <c r="H16" s="5"/>
      <c r="I16" s="151">
        <v>0.7104166666666667</v>
      </c>
      <c r="J16" s="5"/>
      <c r="K16" s="6"/>
      <c r="L16" s="29">
        <v>0.0</v>
      </c>
      <c r="M16" s="29">
        <v>-30.0</v>
      </c>
      <c r="N16" s="13"/>
      <c r="O16" s="13"/>
      <c r="P16" s="13"/>
      <c r="Q16" s="13"/>
      <c r="R16" s="13"/>
      <c r="S16" s="13"/>
    </row>
    <row r="17">
      <c r="A17" s="149">
        <v>10.0</v>
      </c>
      <c r="B17" s="155" t="s">
        <v>58</v>
      </c>
      <c r="C17" s="150">
        <v>0.35</v>
      </c>
      <c r="D17" s="5"/>
      <c r="E17" s="150">
        <v>0.5048611111111111</v>
      </c>
      <c r="F17" s="5"/>
      <c r="G17" s="150">
        <v>0.5430555555555555</v>
      </c>
      <c r="H17" s="5"/>
      <c r="I17" s="150">
        <v>0.7083333333333334</v>
      </c>
      <c r="J17" s="5"/>
      <c r="K17" s="6"/>
      <c r="L17" s="29">
        <v>11.0</v>
      </c>
      <c r="M17" s="29">
        <v>-30.0</v>
      </c>
      <c r="N17" s="13"/>
      <c r="O17" s="13"/>
      <c r="P17" s="13"/>
      <c r="Q17" s="13"/>
      <c r="R17" s="13"/>
      <c r="S17" s="13"/>
    </row>
    <row r="18">
      <c r="A18" s="149">
        <v>11.0</v>
      </c>
      <c r="B18" s="158" t="s">
        <v>18</v>
      </c>
      <c r="C18" s="150">
        <v>0.34930555555555554</v>
      </c>
      <c r="D18" s="5"/>
      <c r="E18" s="150">
        <v>0.5020833333333333</v>
      </c>
      <c r="F18" s="5"/>
      <c r="G18" s="150">
        <v>0.5430555555555555</v>
      </c>
      <c r="H18" s="5"/>
      <c r="I18" s="150">
        <v>0.7083333333333334</v>
      </c>
      <c r="J18" s="5"/>
      <c r="K18" s="6"/>
      <c r="L18" s="29">
        <v>8.0</v>
      </c>
      <c r="M18" s="29">
        <v>-30.0</v>
      </c>
      <c r="N18" s="13"/>
      <c r="O18" s="35"/>
      <c r="P18" s="13"/>
      <c r="Q18" s="13"/>
      <c r="R18" s="13"/>
      <c r="S18" s="13"/>
    </row>
    <row r="19">
      <c r="A19" s="149">
        <v>12.0</v>
      </c>
      <c r="B19" s="159" t="s">
        <v>19</v>
      </c>
      <c r="C19" s="150">
        <v>0.3541666666666667</v>
      </c>
      <c r="D19" s="5"/>
      <c r="E19" s="150">
        <v>0.5</v>
      </c>
      <c r="F19" s="5"/>
      <c r="G19" s="150">
        <v>0.5402777777777777</v>
      </c>
      <c r="H19" s="5"/>
      <c r="I19" s="150">
        <v>0.7083333333333334</v>
      </c>
      <c r="J19" s="5"/>
      <c r="K19" s="6"/>
      <c r="L19" s="29">
        <v>0.0</v>
      </c>
      <c r="M19" s="29">
        <v>-30.0</v>
      </c>
      <c r="N19" s="93" t="s">
        <v>190</v>
      </c>
      <c r="O19" s="189">
        <v>-0.1875</v>
      </c>
      <c r="P19" s="94">
        <v>0.025</v>
      </c>
      <c r="Q19" s="13"/>
      <c r="R19" s="13"/>
      <c r="S19" s="13"/>
    </row>
    <row r="20">
      <c r="A20" s="149">
        <v>13.0</v>
      </c>
      <c r="B20" s="159" t="s">
        <v>20</v>
      </c>
      <c r="C20" s="150">
        <v>0.35208333333333336</v>
      </c>
      <c r="D20" s="5"/>
      <c r="E20" s="150">
        <v>0.5</v>
      </c>
      <c r="F20" s="5"/>
      <c r="G20" s="150">
        <v>0.5416666666666666</v>
      </c>
      <c r="H20" s="5"/>
      <c r="I20" s="150">
        <v>0.7083333333333334</v>
      </c>
      <c r="J20" s="5"/>
      <c r="K20" s="6"/>
      <c r="L20" s="29">
        <v>0.0</v>
      </c>
      <c r="M20" s="29">
        <v>-30.0</v>
      </c>
      <c r="N20" s="13"/>
      <c r="O20" s="13"/>
      <c r="P20" s="13"/>
      <c r="Q20" s="13"/>
      <c r="R20" s="13"/>
      <c r="S20" s="13"/>
    </row>
    <row r="21">
      <c r="A21" s="149">
        <v>14.0</v>
      </c>
      <c r="B21" s="155" t="s">
        <v>21</v>
      </c>
      <c r="C21" s="150">
        <v>0.32916666666666666</v>
      </c>
      <c r="D21" s="5"/>
      <c r="E21" s="147" t="s">
        <v>103</v>
      </c>
      <c r="F21" s="5"/>
      <c r="G21" s="147" t="s">
        <v>103</v>
      </c>
      <c r="H21" s="5"/>
      <c r="I21" s="150">
        <v>0.4965277777777778</v>
      </c>
      <c r="J21" s="5"/>
      <c r="K21" s="6"/>
      <c r="L21" s="29">
        <v>0.0</v>
      </c>
      <c r="M21" s="29"/>
      <c r="N21" s="13"/>
      <c r="O21" s="13"/>
      <c r="P21" s="13"/>
      <c r="Q21" s="13"/>
      <c r="R21" s="13"/>
      <c r="S21" s="13"/>
    </row>
    <row r="22">
      <c r="A22" s="149">
        <v>15.0</v>
      </c>
      <c r="B22" s="158" t="s">
        <v>29</v>
      </c>
      <c r="C22" s="147" t="s">
        <v>103</v>
      </c>
      <c r="D22" s="5"/>
      <c r="E22" s="181" t="s">
        <v>103</v>
      </c>
      <c r="F22" s="5"/>
      <c r="G22" s="181" t="s">
        <v>103</v>
      </c>
      <c r="H22" s="5"/>
      <c r="I22" s="147" t="s">
        <v>103</v>
      </c>
      <c r="J22" s="5"/>
      <c r="K22" s="6"/>
      <c r="L22" s="29"/>
      <c r="M22" s="29"/>
      <c r="N22" s="29"/>
      <c r="O22" s="31"/>
      <c r="P22" s="35"/>
      <c r="Q22" s="13"/>
      <c r="R22" s="13"/>
      <c r="S22" s="13"/>
    </row>
    <row r="23">
      <c r="A23" s="149">
        <v>16.0</v>
      </c>
      <c r="B23" s="159" t="s">
        <v>202</v>
      </c>
      <c r="C23" s="151">
        <v>0.35138888888888886</v>
      </c>
      <c r="D23" s="5"/>
      <c r="E23" s="151">
        <v>0.5027777777777778</v>
      </c>
      <c r="F23" s="5"/>
      <c r="G23" s="151">
        <v>0.5430555555555555</v>
      </c>
      <c r="H23" s="5"/>
      <c r="I23" s="151">
        <v>0.7090277777777778</v>
      </c>
      <c r="J23" s="5"/>
      <c r="K23" s="6"/>
      <c r="L23" s="29">
        <v>6.0</v>
      </c>
      <c r="M23" s="29">
        <v>-30.0</v>
      </c>
      <c r="N23" s="13"/>
      <c r="O23" s="13"/>
      <c r="P23" s="13"/>
      <c r="Q23" s="13"/>
      <c r="R23" s="13"/>
      <c r="S23" s="13"/>
    </row>
    <row r="24">
      <c r="A24" s="149">
        <v>17.0</v>
      </c>
      <c r="B24" s="155" t="s">
        <v>25</v>
      </c>
      <c r="C24" s="150">
        <v>0.3527777777777778</v>
      </c>
      <c r="D24" s="5"/>
      <c r="E24" s="150">
        <v>0.5</v>
      </c>
      <c r="F24" s="5"/>
      <c r="G24" s="150">
        <v>0.5416666666666666</v>
      </c>
      <c r="H24" s="5"/>
      <c r="I24" s="151">
        <v>0.7083333333333334</v>
      </c>
      <c r="J24" s="5"/>
      <c r="K24" s="6"/>
      <c r="L24" s="29">
        <v>0.0</v>
      </c>
      <c r="M24" s="29">
        <v>-30.0</v>
      </c>
      <c r="N24" s="93" t="s">
        <v>190</v>
      </c>
      <c r="O24" s="189">
        <v>-0.25</v>
      </c>
      <c r="P24" s="94">
        <v>0.029166666666666667</v>
      </c>
      <c r="Q24" s="13"/>
      <c r="R24" s="13"/>
      <c r="S24" s="13"/>
    </row>
    <row r="25">
      <c r="A25" s="149">
        <v>18.0</v>
      </c>
      <c r="B25" s="158" t="s">
        <v>18</v>
      </c>
      <c r="C25" s="150">
        <v>0.35</v>
      </c>
      <c r="D25" s="5"/>
      <c r="E25" s="150">
        <v>0.5138888888888888</v>
      </c>
      <c r="F25" s="5"/>
      <c r="G25" s="150">
        <v>0.5555555555555556</v>
      </c>
      <c r="H25" s="5"/>
      <c r="I25" s="150">
        <v>0.7090277777777778</v>
      </c>
      <c r="J25" s="5"/>
      <c r="K25" s="6"/>
      <c r="L25" s="29">
        <v>6.0</v>
      </c>
      <c r="M25" s="29">
        <v>-30.0</v>
      </c>
      <c r="N25" s="13"/>
      <c r="O25" s="13"/>
      <c r="P25" s="13"/>
      <c r="Q25" s="13"/>
      <c r="R25" s="13"/>
      <c r="S25" s="13"/>
    </row>
    <row r="26">
      <c r="A26" s="149">
        <v>19.0</v>
      </c>
      <c r="B26" s="159" t="s">
        <v>26</v>
      </c>
      <c r="C26" s="147" t="s">
        <v>78</v>
      </c>
      <c r="D26" s="15"/>
      <c r="E26" s="15"/>
      <c r="F26" s="15"/>
      <c r="G26" s="15"/>
      <c r="H26" s="15"/>
      <c r="I26" s="15"/>
      <c r="J26" s="5"/>
      <c r="K26" s="127"/>
      <c r="L26" s="29"/>
      <c r="M26" s="29"/>
      <c r="N26" s="96"/>
      <c r="O26" s="29"/>
      <c r="P26" s="35"/>
      <c r="Q26" s="13"/>
      <c r="R26" s="13"/>
      <c r="S26" s="13"/>
    </row>
    <row r="27">
      <c r="A27" s="149">
        <v>20.0</v>
      </c>
      <c r="B27" s="159" t="s">
        <v>20</v>
      </c>
      <c r="C27" s="150">
        <v>0.35</v>
      </c>
      <c r="D27" s="5"/>
      <c r="E27" s="150">
        <v>0.5</v>
      </c>
      <c r="F27" s="5"/>
      <c r="G27" s="150">
        <v>0.5416666666666666</v>
      </c>
      <c r="H27" s="5"/>
      <c r="I27" s="150">
        <v>0.7458333333333333</v>
      </c>
      <c r="J27" s="5"/>
      <c r="K27" s="6"/>
      <c r="L27" s="29">
        <v>0.0</v>
      </c>
      <c r="M27" s="29">
        <v>30.0</v>
      </c>
      <c r="N27" s="13"/>
      <c r="O27" s="13"/>
      <c r="P27" s="13"/>
      <c r="Q27" s="13"/>
      <c r="R27" s="13"/>
      <c r="S27" s="13"/>
    </row>
    <row r="28">
      <c r="A28" s="149">
        <v>21.0</v>
      </c>
      <c r="B28" s="158" t="s">
        <v>21</v>
      </c>
      <c r="C28" s="150">
        <v>0.33055555555555555</v>
      </c>
      <c r="D28" s="5"/>
      <c r="E28" s="147" t="s">
        <v>103</v>
      </c>
      <c r="F28" s="5"/>
      <c r="G28" s="147" t="s">
        <v>103</v>
      </c>
      <c r="H28" s="5"/>
      <c r="I28" s="150">
        <v>0.4951388888888889</v>
      </c>
      <c r="J28" s="5"/>
      <c r="K28" s="6"/>
      <c r="L28" s="29">
        <v>0.0</v>
      </c>
      <c r="M28" s="31"/>
      <c r="N28" s="191"/>
      <c r="O28" s="31"/>
      <c r="P28" s="13"/>
      <c r="Q28" s="13"/>
      <c r="R28" s="13"/>
      <c r="S28" s="13"/>
    </row>
    <row r="29">
      <c r="A29" s="149">
        <v>22.0</v>
      </c>
      <c r="B29" s="159" t="s">
        <v>23</v>
      </c>
      <c r="C29" s="147" t="s">
        <v>103</v>
      </c>
      <c r="D29" s="5"/>
      <c r="E29" s="181" t="s">
        <v>103</v>
      </c>
      <c r="F29" s="5"/>
      <c r="G29" s="181" t="s">
        <v>103</v>
      </c>
      <c r="H29" s="5"/>
      <c r="I29" s="147" t="s">
        <v>103</v>
      </c>
      <c r="J29" s="5"/>
      <c r="K29" s="6"/>
      <c r="L29" s="29"/>
      <c r="M29" s="29"/>
      <c r="N29" s="13"/>
      <c r="O29" s="13"/>
      <c r="P29" s="13"/>
      <c r="Q29" s="13"/>
      <c r="R29" s="13"/>
      <c r="S29" s="13"/>
    </row>
    <row r="30">
      <c r="A30" s="149">
        <v>23.0</v>
      </c>
      <c r="B30" s="159" t="s">
        <v>202</v>
      </c>
      <c r="C30" s="151">
        <v>0.35208333333333336</v>
      </c>
      <c r="D30" s="5"/>
      <c r="E30" s="151">
        <v>0.5</v>
      </c>
      <c r="F30" s="5"/>
      <c r="G30" s="151">
        <v>0.5416666666666666</v>
      </c>
      <c r="H30" s="5"/>
      <c r="I30" s="151">
        <v>0.7083333333333334</v>
      </c>
      <c r="J30" s="5"/>
      <c r="K30" s="6"/>
      <c r="L30" s="29">
        <v>0.0</v>
      </c>
      <c r="M30" s="29">
        <v>-30.0</v>
      </c>
      <c r="N30" s="13"/>
      <c r="O30" s="13"/>
      <c r="P30" s="13"/>
      <c r="Q30" s="13"/>
      <c r="R30" s="13"/>
      <c r="S30" s="13"/>
    </row>
    <row r="31">
      <c r="A31" s="149">
        <v>24.0</v>
      </c>
      <c r="B31" s="158" t="s">
        <v>58</v>
      </c>
      <c r="C31" s="150">
        <v>0.3506944444444444</v>
      </c>
      <c r="D31" s="5"/>
      <c r="E31" s="150">
        <v>0.5</v>
      </c>
      <c r="F31" s="5"/>
      <c r="G31" s="150">
        <v>0.5416666666666666</v>
      </c>
      <c r="H31" s="5"/>
      <c r="I31" s="150">
        <v>0.7166666666666667</v>
      </c>
      <c r="J31" s="5"/>
      <c r="K31" s="6"/>
      <c r="L31" s="29">
        <v>17.0</v>
      </c>
      <c r="M31" s="29">
        <v>-30.0</v>
      </c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18</v>
      </c>
      <c r="C32" s="150">
        <v>0.35138888888888886</v>
      </c>
      <c r="D32" s="5"/>
      <c r="E32" s="150">
        <v>0.5</v>
      </c>
      <c r="F32" s="5"/>
      <c r="G32" s="150">
        <v>0.5416666666666666</v>
      </c>
      <c r="H32" s="5"/>
      <c r="I32" s="150">
        <v>0.7083333333333334</v>
      </c>
      <c r="J32" s="5"/>
      <c r="K32" s="6"/>
      <c r="L32" s="29">
        <v>0.0</v>
      </c>
      <c r="M32" s="29">
        <v>-30.0</v>
      </c>
      <c r="N32" s="13"/>
      <c r="O32" s="13"/>
      <c r="P32" s="13"/>
      <c r="Q32" s="13"/>
      <c r="R32" s="13"/>
      <c r="S32" s="13"/>
    </row>
    <row r="33">
      <c r="A33" s="149">
        <v>26.0</v>
      </c>
      <c r="B33" s="159" t="s">
        <v>19</v>
      </c>
      <c r="C33" s="150">
        <v>0.35</v>
      </c>
      <c r="D33" s="5"/>
      <c r="E33" s="150">
        <v>0.5</v>
      </c>
      <c r="F33" s="5"/>
      <c r="G33" s="150">
        <v>0.5416666666666666</v>
      </c>
      <c r="H33" s="5"/>
      <c r="I33" s="150">
        <v>0.7083333333333334</v>
      </c>
      <c r="J33" s="5"/>
      <c r="K33" s="6"/>
      <c r="L33" s="29">
        <v>6.0</v>
      </c>
      <c r="M33" s="29">
        <v>-30.0</v>
      </c>
      <c r="N33" s="93" t="s">
        <v>190</v>
      </c>
      <c r="O33" s="189">
        <v>-0.3541666666666667</v>
      </c>
      <c r="P33" s="94">
        <v>0.07847222222222222</v>
      </c>
      <c r="Q33" s="13"/>
      <c r="R33" s="13"/>
      <c r="S33" s="13"/>
    </row>
    <row r="34">
      <c r="A34" s="149">
        <v>27.0</v>
      </c>
      <c r="B34" s="209" t="s">
        <v>20</v>
      </c>
      <c r="C34" s="150">
        <v>0.3506944444444444</v>
      </c>
      <c r="D34" s="5"/>
      <c r="E34" s="150">
        <v>0.5</v>
      </c>
      <c r="F34" s="5"/>
      <c r="G34" s="150">
        <v>0.5416666666666666</v>
      </c>
      <c r="H34" s="5"/>
      <c r="I34" s="150">
        <v>0.7125</v>
      </c>
      <c r="J34" s="5"/>
      <c r="K34" s="6"/>
      <c r="L34" s="29">
        <v>11.0</v>
      </c>
      <c r="M34" s="29">
        <v>-30.0</v>
      </c>
      <c r="N34" s="96"/>
      <c r="O34" s="29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9" t="s">
        <v>21</v>
      </c>
      <c r="C35" s="151">
        <v>0.3298611111111111</v>
      </c>
      <c r="D35" s="5"/>
      <c r="E35" s="181" t="s">
        <v>103</v>
      </c>
      <c r="F35" s="5"/>
      <c r="G35" s="181" t="s">
        <v>103</v>
      </c>
      <c r="H35" s="5"/>
      <c r="I35" s="151">
        <v>0.49236111111111114</v>
      </c>
      <c r="J35" s="5"/>
      <c r="L35" s="29">
        <v>-6.0</v>
      </c>
      <c r="M35" s="211"/>
      <c r="N35" s="93" t="s">
        <v>190</v>
      </c>
      <c r="O35" s="93" t="s">
        <v>246</v>
      </c>
      <c r="P35" s="94">
        <v>0.07847222222222222</v>
      </c>
      <c r="Q35" s="13"/>
      <c r="R35" s="13"/>
      <c r="S35" s="13"/>
      <c r="T35" s="13"/>
      <c r="U35" s="13"/>
      <c r="V35" s="13"/>
    </row>
    <row r="36">
      <c r="A36" s="163">
        <v>29.0</v>
      </c>
      <c r="B36" s="159" t="s">
        <v>23</v>
      </c>
      <c r="C36" s="181" t="s">
        <v>103</v>
      </c>
      <c r="D36" s="5"/>
      <c r="E36" s="181" t="s">
        <v>103</v>
      </c>
      <c r="F36" s="5"/>
      <c r="G36" s="181" t="s">
        <v>103</v>
      </c>
      <c r="H36" s="5"/>
      <c r="I36" s="181" t="s">
        <v>103</v>
      </c>
      <c r="J36" s="5"/>
      <c r="K36" s="6"/>
      <c r="L36" s="29"/>
      <c r="M36" s="29"/>
      <c r="N36" s="13"/>
      <c r="O36" s="13"/>
      <c r="P36" s="13"/>
      <c r="Q36" s="13"/>
      <c r="R36" s="13"/>
      <c r="S36" s="13"/>
    </row>
    <row r="37">
      <c r="A37" s="163">
        <v>30.0</v>
      </c>
      <c r="B37" s="159" t="s">
        <v>202</v>
      </c>
      <c r="C37" s="151">
        <v>0.34930555555555554</v>
      </c>
      <c r="D37" s="5"/>
      <c r="E37" s="151">
        <v>0.5</v>
      </c>
      <c r="F37" s="5"/>
      <c r="G37" s="151">
        <v>0.5416666666666666</v>
      </c>
      <c r="H37" s="5"/>
      <c r="I37" s="151">
        <v>0.7083333333333334</v>
      </c>
      <c r="J37" s="5"/>
      <c r="K37" s="6"/>
      <c r="L37" s="29"/>
      <c r="M37" s="29">
        <v>-30.0</v>
      </c>
      <c r="N37" s="96"/>
      <c r="O37" s="37"/>
      <c r="P37" s="35"/>
      <c r="Q37" s="13"/>
      <c r="R37" s="13"/>
      <c r="S37" s="13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3"/>
      <c r="M38" s="31"/>
      <c r="N38" s="39"/>
      <c r="O38" s="31"/>
      <c r="P38" s="13"/>
      <c r="Q38" s="13"/>
      <c r="R38" s="13"/>
      <c r="S38" s="13"/>
    </row>
    <row r="39">
      <c r="A39" s="107" t="s">
        <v>247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/>
      <c r="P39" s="13"/>
    </row>
    <row r="40">
      <c r="A40" s="107" t="s">
        <v>248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/>
    </row>
    <row r="41">
      <c r="A41" s="132" t="s">
        <v>249</v>
      </c>
      <c r="B41" s="3"/>
      <c r="C41" s="3"/>
      <c r="D41" s="3"/>
      <c r="E41" s="3"/>
      <c r="F41" s="3"/>
      <c r="G41" s="3"/>
      <c r="H41" s="3"/>
      <c r="I41" s="3"/>
      <c r="J41" s="2"/>
      <c r="K41" s="6"/>
      <c r="L41" s="13"/>
      <c r="M41" s="13"/>
      <c r="N41" s="13"/>
      <c r="O41" s="29"/>
      <c r="P41" s="13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42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C25:D25"/>
    <mergeCell ref="E25:F25"/>
    <mergeCell ref="G25:H25"/>
    <mergeCell ref="I25:J25"/>
    <mergeCell ref="C26:J26"/>
    <mergeCell ref="C27:D27"/>
    <mergeCell ref="E27:F27"/>
    <mergeCell ref="G27:H27"/>
    <mergeCell ref="I27:J27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4:E44"/>
    <mergeCell ref="F44:G44"/>
    <mergeCell ref="D45:E45"/>
    <mergeCell ref="F45:G45"/>
    <mergeCell ref="A38:J38"/>
    <mergeCell ref="A39:J39"/>
    <mergeCell ref="A40:J40"/>
    <mergeCell ref="A41:J41"/>
    <mergeCell ref="F42:G42"/>
    <mergeCell ref="D43:E43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E28:F28"/>
    <mergeCell ref="G28:H28"/>
    <mergeCell ref="C36:D36"/>
    <mergeCell ref="C37:D37"/>
    <mergeCell ref="E37:F37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0.0"/>
    <col customWidth="1" min="15" max="15" width="11.88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250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52</v>
      </c>
      <c r="C5" s="15"/>
      <c r="D5" s="15"/>
      <c r="E5" s="5"/>
      <c r="F5" s="177" t="s">
        <v>66</v>
      </c>
      <c r="G5" s="178"/>
      <c r="H5" s="179"/>
      <c r="I5" s="179"/>
      <c r="J5" s="179"/>
      <c r="K5" s="6"/>
    </row>
    <row r="6">
      <c r="A6" s="172" t="s">
        <v>10</v>
      </c>
      <c r="B6" s="176" t="s">
        <v>236</v>
      </c>
      <c r="C6" s="15"/>
      <c r="D6" s="15"/>
      <c r="E6" s="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158" t="s">
        <v>23</v>
      </c>
      <c r="C8" s="147" t="s">
        <v>103</v>
      </c>
      <c r="D8" s="5"/>
      <c r="E8" s="147" t="s">
        <v>103</v>
      </c>
      <c r="F8" s="5"/>
      <c r="G8" s="147" t="s">
        <v>103</v>
      </c>
      <c r="H8" s="5"/>
      <c r="I8" s="147" t="s">
        <v>103</v>
      </c>
      <c r="J8" s="5"/>
      <c r="K8" s="6"/>
    </row>
    <row r="9">
      <c r="A9" s="149">
        <v>2.0</v>
      </c>
      <c r="B9" s="159" t="s">
        <v>202</v>
      </c>
      <c r="C9" s="166">
        <v>0.35138888888888886</v>
      </c>
      <c r="D9" s="5"/>
      <c r="E9" s="152">
        <v>0.5020833333333333</v>
      </c>
      <c r="F9" s="5"/>
      <c r="G9" s="152">
        <v>0.5451388888888888</v>
      </c>
      <c r="H9" s="5"/>
      <c r="I9" s="152">
        <v>0.7472222222222222</v>
      </c>
      <c r="J9" s="5"/>
      <c r="K9" s="6"/>
      <c r="L9" s="142">
        <v>0.0</v>
      </c>
      <c r="M9" s="142">
        <v>30.0</v>
      </c>
    </row>
    <row r="10">
      <c r="A10" s="149">
        <v>3.0</v>
      </c>
      <c r="B10" s="155" t="s">
        <v>25</v>
      </c>
      <c r="C10" s="152">
        <v>0.3527777777777778</v>
      </c>
      <c r="D10" s="5"/>
      <c r="E10" s="152">
        <v>0.5027777777777778</v>
      </c>
      <c r="F10" s="5"/>
      <c r="G10" s="152">
        <v>0.5444444444444444</v>
      </c>
      <c r="H10" s="5"/>
      <c r="I10" s="152">
        <v>0.7444444444444445</v>
      </c>
      <c r="J10" s="5"/>
      <c r="K10" s="6"/>
      <c r="L10" s="142">
        <v>-6.0</v>
      </c>
      <c r="M10" s="142">
        <v>30.0</v>
      </c>
    </row>
    <row r="11">
      <c r="A11" s="149">
        <v>4.0</v>
      </c>
      <c r="B11" s="158" t="s">
        <v>18</v>
      </c>
      <c r="C11" s="152">
        <v>0.3527777777777778</v>
      </c>
      <c r="D11" s="5"/>
      <c r="E11" s="152">
        <v>0.5048611111111111</v>
      </c>
      <c r="F11" s="5"/>
      <c r="G11" s="152">
        <v>0.5465277777777777</v>
      </c>
      <c r="H11" s="5"/>
      <c r="I11" s="152">
        <v>0.7451388888888889</v>
      </c>
      <c r="J11" s="5"/>
      <c r="K11" s="6"/>
      <c r="L11" s="142">
        <v>0.0</v>
      </c>
      <c r="M11" s="142">
        <v>30.0</v>
      </c>
    </row>
    <row r="12">
      <c r="A12" s="149">
        <v>5.0</v>
      </c>
      <c r="B12" s="155" t="s">
        <v>19</v>
      </c>
      <c r="C12" s="150">
        <v>0.35</v>
      </c>
      <c r="D12" s="5"/>
      <c r="E12" s="150">
        <v>0.5020833333333333</v>
      </c>
      <c r="F12" s="5"/>
      <c r="G12" s="150">
        <v>0.5423611111111111</v>
      </c>
      <c r="H12" s="5"/>
      <c r="I12" s="150">
        <v>0.7444444444444445</v>
      </c>
      <c r="J12" s="5"/>
      <c r="K12" s="6"/>
      <c r="L12" s="29">
        <v>0.0</v>
      </c>
      <c r="M12" s="29">
        <v>30.0</v>
      </c>
      <c r="N12" s="13"/>
      <c r="O12" s="13"/>
      <c r="P12" s="13"/>
    </row>
    <row r="13">
      <c r="A13" s="149">
        <v>6.0</v>
      </c>
      <c r="B13" s="155" t="s">
        <v>20</v>
      </c>
      <c r="C13" s="150">
        <v>0.35208333333333336</v>
      </c>
      <c r="D13" s="5"/>
      <c r="E13" s="150">
        <v>0.5027777777777778</v>
      </c>
      <c r="F13" s="5"/>
      <c r="G13" s="150">
        <v>0.5444444444444444</v>
      </c>
      <c r="H13" s="5"/>
      <c r="I13" s="150">
        <v>0.7368055555555556</v>
      </c>
      <c r="J13" s="5"/>
      <c r="K13" s="6"/>
      <c r="L13" s="29">
        <v>-16.0</v>
      </c>
      <c r="M13" s="29">
        <v>30.0</v>
      </c>
      <c r="N13" s="93" t="s">
        <v>190</v>
      </c>
      <c r="O13" s="189">
        <v>-0.015277777777777777</v>
      </c>
      <c r="P13" s="94">
        <v>0.10416666666666667</v>
      </c>
      <c r="S13" s="142" t="s">
        <v>106</v>
      </c>
    </row>
    <row r="14">
      <c r="A14" s="149">
        <v>7.0</v>
      </c>
      <c r="B14" s="155" t="s">
        <v>21</v>
      </c>
      <c r="C14" s="150">
        <v>0.3326388888888889</v>
      </c>
      <c r="D14" s="5"/>
      <c r="E14" s="147" t="s">
        <v>103</v>
      </c>
      <c r="F14" s="5"/>
      <c r="G14" s="147" t="s">
        <v>103</v>
      </c>
      <c r="H14" s="5"/>
      <c r="I14" s="150">
        <v>0.5</v>
      </c>
      <c r="J14" s="5"/>
      <c r="K14" s="6"/>
      <c r="L14" s="29">
        <v>0.0</v>
      </c>
      <c r="M14" s="29"/>
      <c r="N14" s="13"/>
      <c r="O14" s="13"/>
      <c r="P14" s="13"/>
    </row>
    <row r="15">
      <c r="A15" s="149">
        <v>8.0</v>
      </c>
      <c r="B15" s="158" t="s">
        <v>29</v>
      </c>
      <c r="C15" s="147" t="s">
        <v>103</v>
      </c>
      <c r="D15" s="5"/>
      <c r="E15" s="181" t="s">
        <v>103</v>
      </c>
      <c r="F15" s="5"/>
      <c r="G15" s="181" t="s">
        <v>103</v>
      </c>
      <c r="H15" s="5"/>
      <c r="I15" s="181" t="s">
        <v>103</v>
      </c>
      <c r="J15" s="5"/>
      <c r="K15" s="6"/>
      <c r="L15" s="29"/>
      <c r="M15" s="29"/>
      <c r="N15" s="13"/>
      <c r="O15" s="13"/>
      <c r="P15" s="13"/>
    </row>
    <row r="16">
      <c r="A16" s="149">
        <v>9.0</v>
      </c>
      <c r="B16" s="159" t="s">
        <v>202</v>
      </c>
      <c r="C16" s="151">
        <v>0.3506944444444444</v>
      </c>
      <c r="D16" s="5"/>
      <c r="E16" s="151">
        <v>0.5013888888888889</v>
      </c>
      <c r="F16" s="5"/>
      <c r="G16" s="151">
        <v>0.54375</v>
      </c>
      <c r="H16" s="5"/>
      <c r="I16" s="151">
        <v>0.7458333333333333</v>
      </c>
      <c r="J16" s="5"/>
      <c r="K16" s="6"/>
      <c r="L16" s="29">
        <v>0.0</v>
      </c>
      <c r="M16" s="29">
        <v>30.0</v>
      </c>
      <c r="N16" s="13"/>
      <c r="O16" s="13"/>
      <c r="P16" s="13"/>
    </row>
    <row r="17">
      <c r="A17" s="149">
        <v>10.0</v>
      </c>
      <c r="B17" s="155" t="s">
        <v>58</v>
      </c>
      <c r="C17" s="150">
        <v>0.3527777777777778</v>
      </c>
      <c r="D17" s="5"/>
      <c r="E17" s="150">
        <v>0.5034722222222222</v>
      </c>
      <c r="F17" s="5"/>
      <c r="G17" s="150">
        <v>0.54375</v>
      </c>
      <c r="H17" s="5"/>
      <c r="I17" s="150">
        <v>0.74375</v>
      </c>
      <c r="J17" s="5"/>
      <c r="K17" s="6"/>
      <c r="L17" s="29">
        <v>0.0</v>
      </c>
      <c r="M17" s="142">
        <v>30.0</v>
      </c>
      <c r="N17" s="13"/>
      <c r="O17" s="13"/>
      <c r="P17" s="13"/>
      <c r="Q17" s="13"/>
      <c r="R17" s="13"/>
      <c r="S17" s="13"/>
    </row>
    <row r="18">
      <c r="A18" s="149">
        <v>11.0</v>
      </c>
      <c r="B18" s="158" t="s">
        <v>18</v>
      </c>
      <c r="C18" s="150">
        <v>0.35208333333333336</v>
      </c>
      <c r="D18" s="5"/>
      <c r="E18" s="150">
        <v>0.5055555555555555</v>
      </c>
      <c r="F18" s="5"/>
      <c r="G18" s="150">
        <v>0.5479166666666667</v>
      </c>
      <c r="H18" s="5"/>
      <c r="I18" s="150">
        <v>0.7472222222222222</v>
      </c>
      <c r="J18" s="5"/>
      <c r="K18" s="6"/>
      <c r="L18" s="29">
        <v>0.0</v>
      </c>
      <c r="M18" s="142">
        <v>30.0</v>
      </c>
      <c r="N18" s="13"/>
      <c r="O18" s="13"/>
      <c r="P18" s="13"/>
      <c r="Q18" s="13"/>
      <c r="R18" s="13"/>
      <c r="S18" s="13"/>
    </row>
    <row r="19">
      <c r="A19" s="149">
        <v>12.0</v>
      </c>
      <c r="B19" s="159" t="s">
        <v>19</v>
      </c>
      <c r="C19" s="150">
        <v>0.34930555555555554</v>
      </c>
      <c r="D19" s="5"/>
      <c r="E19" s="150">
        <v>0.5048611111111111</v>
      </c>
      <c r="F19" s="5"/>
      <c r="G19" s="150">
        <v>0.5458333333333333</v>
      </c>
      <c r="H19" s="5"/>
      <c r="I19" s="150">
        <v>0.7444444444444445</v>
      </c>
      <c r="J19" s="5"/>
      <c r="K19" s="6"/>
      <c r="L19" s="29">
        <v>0.0</v>
      </c>
      <c r="M19" s="29">
        <v>30.0</v>
      </c>
      <c r="N19" s="93" t="s">
        <v>190</v>
      </c>
      <c r="O19" s="189">
        <v>-0.015277777777777777</v>
      </c>
      <c r="P19" s="94">
        <v>0.1875</v>
      </c>
      <c r="Q19" s="13"/>
      <c r="R19" s="13"/>
      <c r="S19" s="29" t="s">
        <v>106</v>
      </c>
    </row>
    <row r="20">
      <c r="A20" s="149">
        <v>13.0</v>
      </c>
      <c r="B20" s="159" t="s">
        <v>20</v>
      </c>
      <c r="C20" s="150">
        <v>0.35555555555555557</v>
      </c>
      <c r="D20" s="5"/>
      <c r="E20" s="150">
        <v>0.5020833333333333</v>
      </c>
      <c r="F20" s="5"/>
      <c r="G20" s="150">
        <v>0.5444444444444444</v>
      </c>
      <c r="H20" s="5"/>
      <c r="I20" s="150">
        <v>0.7444444444444445</v>
      </c>
      <c r="J20" s="5"/>
      <c r="K20" s="6"/>
      <c r="L20" s="29">
        <v>-11.0</v>
      </c>
      <c r="M20" s="29">
        <v>30.0</v>
      </c>
      <c r="N20" s="13"/>
      <c r="O20" s="13"/>
      <c r="P20" s="13"/>
      <c r="Q20" s="13"/>
      <c r="R20" s="13"/>
      <c r="S20" s="13"/>
    </row>
    <row r="21">
      <c r="A21" s="149">
        <v>14.0</v>
      </c>
      <c r="B21" s="155" t="s">
        <v>21</v>
      </c>
      <c r="C21" s="150">
        <v>0.3458333333333333</v>
      </c>
      <c r="D21" s="5"/>
      <c r="E21" s="147" t="s">
        <v>103</v>
      </c>
      <c r="F21" s="5"/>
      <c r="G21" s="147" t="s">
        <v>103</v>
      </c>
      <c r="H21" s="5"/>
      <c r="I21" s="150">
        <v>0.5090277777777777</v>
      </c>
      <c r="J21" s="5"/>
      <c r="K21" s="6"/>
      <c r="L21" s="29">
        <v>0.0</v>
      </c>
      <c r="M21" s="29"/>
      <c r="N21" s="13"/>
      <c r="O21" s="35"/>
      <c r="P21" s="13"/>
      <c r="Q21" s="13"/>
      <c r="R21" s="13"/>
      <c r="S21" s="13"/>
    </row>
    <row r="22">
      <c r="A22" s="149">
        <v>15.0</v>
      </c>
      <c r="B22" s="158" t="s">
        <v>29</v>
      </c>
      <c r="C22" s="147" t="s">
        <v>103</v>
      </c>
      <c r="D22" s="5"/>
      <c r="E22" s="181" t="s">
        <v>103</v>
      </c>
      <c r="F22" s="5"/>
      <c r="G22" s="181" t="s">
        <v>103</v>
      </c>
      <c r="H22" s="5"/>
      <c r="I22" s="147" t="s">
        <v>103</v>
      </c>
      <c r="J22" s="5"/>
      <c r="L22" s="29"/>
      <c r="M22" s="29"/>
      <c r="N22" s="29"/>
      <c r="O22" s="31"/>
      <c r="P22" s="35"/>
      <c r="Q22" s="13"/>
      <c r="R22" s="13"/>
      <c r="S22" s="13"/>
    </row>
    <row r="23">
      <c r="A23" s="149">
        <v>16.0</v>
      </c>
      <c r="B23" s="159" t="s">
        <v>202</v>
      </c>
      <c r="C23" s="181" t="s">
        <v>161</v>
      </c>
      <c r="D23" s="15"/>
      <c r="E23" s="15"/>
      <c r="F23" s="15"/>
      <c r="G23" s="15"/>
      <c r="H23" s="15"/>
      <c r="I23" s="15"/>
      <c r="J23" s="5"/>
      <c r="K23" s="6"/>
      <c r="L23" s="29" t="s">
        <v>251</v>
      </c>
      <c r="M23" s="29"/>
      <c r="N23" s="13"/>
      <c r="O23" s="13"/>
      <c r="P23" s="13"/>
      <c r="Q23" s="13"/>
      <c r="R23" s="13"/>
      <c r="S23" s="13"/>
    </row>
    <row r="24">
      <c r="A24" s="149">
        <v>17.0</v>
      </c>
      <c r="B24" s="155" t="s">
        <v>25</v>
      </c>
      <c r="C24" s="150">
        <v>0.35347222222222224</v>
      </c>
      <c r="D24" s="5"/>
      <c r="E24" s="150">
        <v>0.5020833333333333</v>
      </c>
      <c r="F24" s="5"/>
      <c r="G24" s="150">
        <v>0.5458333333333333</v>
      </c>
      <c r="H24" s="5"/>
      <c r="I24" s="150">
        <v>0.7458333333333333</v>
      </c>
      <c r="J24" s="5"/>
      <c r="K24" s="6"/>
      <c r="L24" s="29">
        <v>-8.0</v>
      </c>
      <c r="M24" s="29">
        <v>30.0</v>
      </c>
      <c r="N24" s="93" t="s">
        <v>190</v>
      </c>
      <c r="O24" s="189">
        <v>-0.35625</v>
      </c>
      <c r="P24" s="94">
        <v>0.22916666666666666</v>
      </c>
      <c r="Q24" s="13"/>
      <c r="R24" s="13"/>
      <c r="S24" s="29" t="s">
        <v>106</v>
      </c>
    </row>
    <row r="25">
      <c r="A25" s="149">
        <v>18.0</v>
      </c>
      <c r="B25" s="158" t="s">
        <v>18</v>
      </c>
      <c r="C25" s="150">
        <v>0.35208333333333336</v>
      </c>
      <c r="D25" s="5"/>
      <c r="E25" s="150">
        <v>0.5020833333333333</v>
      </c>
      <c r="F25" s="5"/>
      <c r="G25" s="150">
        <v>0.5048611111111111</v>
      </c>
      <c r="H25" s="5"/>
      <c r="I25" s="150">
        <v>0.7479166666666667</v>
      </c>
      <c r="J25" s="5"/>
      <c r="K25" s="6"/>
      <c r="L25" s="29">
        <v>0.0</v>
      </c>
      <c r="M25" s="29">
        <v>30.0</v>
      </c>
      <c r="N25" s="13"/>
      <c r="O25" s="13"/>
      <c r="P25" s="13"/>
      <c r="Q25" s="13"/>
      <c r="R25" s="13"/>
      <c r="S25" s="13"/>
    </row>
    <row r="26">
      <c r="A26" s="149">
        <v>19.0</v>
      </c>
      <c r="B26" s="159" t="s">
        <v>26</v>
      </c>
      <c r="C26" s="147" t="s">
        <v>78</v>
      </c>
      <c r="D26" s="15"/>
      <c r="E26" s="15"/>
      <c r="F26" s="15"/>
      <c r="G26" s="15"/>
      <c r="H26" s="15"/>
      <c r="I26" s="15"/>
      <c r="J26" s="5"/>
      <c r="K26" s="127"/>
      <c r="L26" s="29"/>
      <c r="M26" s="29"/>
      <c r="N26" s="29"/>
      <c r="O26" s="29"/>
      <c r="P26" s="35"/>
      <c r="Q26" s="13"/>
      <c r="R26" s="13"/>
      <c r="S26" s="29"/>
    </row>
    <row r="27">
      <c r="A27" s="149">
        <v>20.0</v>
      </c>
      <c r="B27" s="159" t="s">
        <v>20</v>
      </c>
      <c r="C27" s="150">
        <v>0.35</v>
      </c>
      <c r="D27" s="5"/>
      <c r="E27" s="150">
        <v>0.5027777777777778</v>
      </c>
      <c r="F27" s="5"/>
      <c r="G27" s="150">
        <v>0.5430555555555555</v>
      </c>
      <c r="H27" s="5"/>
      <c r="I27" s="150">
        <v>0.7430555555555556</v>
      </c>
      <c r="J27" s="5"/>
      <c r="K27" s="124"/>
      <c r="L27" s="29">
        <v>0.0</v>
      </c>
      <c r="M27" s="29">
        <v>30.0</v>
      </c>
      <c r="N27" s="13"/>
      <c r="O27" s="13"/>
      <c r="P27" s="13"/>
      <c r="Q27" s="13"/>
      <c r="R27" s="13"/>
      <c r="S27" s="13"/>
    </row>
    <row r="28">
      <c r="A28" s="149">
        <v>21.0</v>
      </c>
      <c r="B28" s="158" t="s">
        <v>21</v>
      </c>
      <c r="C28" s="150">
        <v>0.3451388888888889</v>
      </c>
      <c r="D28" s="5"/>
      <c r="E28" s="147" t="s">
        <v>103</v>
      </c>
      <c r="F28" s="5"/>
      <c r="G28" s="147" t="s">
        <v>103</v>
      </c>
      <c r="H28" s="5"/>
      <c r="I28" s="150">
        <v>0.49444444444444446</v>
      </c>
      <c r="J28" s="5"/>
      <c r="K28" s="124"/>
      <c r="L28" s="29">
        <v>-25.0</v>
      </c>
      <c r="M28" s="31"/>
      <c r="N28" s="191"/>
      <c r="O28" s="97"/>
      <c r="P28" s="13"/>
      <c r="Q28" s="13"/>
      <c r="R28" s="13"/>
      <c r="S28" s="13"/>
    </row>
    <row r="29">
      <c r="A29" s="149">
        <v>22.0</v>
      </c>
      <c r="B29" s="159" t="s">
        <v>23</v>
      </c>
      <c r="C29" s="147" t="s">
        <v>103</v>
      </c>
      <c r="D29" s="5"/>
      <c r="E29" s="147" t="s">
        <v>103</v>
      </c>
      <c r="F29" s="5"/>
      <c r="G29" s="147" t="s">
        <v>103</v>
      </c>
      <c r="H29" s="5"/>
      <c r="I29" s="147" t="s">
        <v>103</v>
      </c>
      <c r="J29" s="5"/>
      <c r="K29" s="124"/>
      <c r="L29" s="13"/>
      <c r="M29" s="13"/>
      <c r="N29" s="13"/>
      <c r="O29" s="13"/>
      <c r="P29" s="13"/>
      <c r="Q29" s="13"/>
      <c r="R29" s="13"/>
      <c r="S29" s="13"/>
    </row>
    <row r="30">
      <c r="A30" s="149">
        <v>23.0</v>
      </c>
      <c r="B30" s="159" t="s">
        <v>202</v>
      </c>
      <c r="C30" s="150">
        <v>0.35208333333333336</v>
      </c>
      <c r="D30" s="5"/>
      <c r="E30" s="150">
        <v>0.5027777777777778</v>
      </c>
      <c r="F30" s="5"/>
      <c r="G30" s="150">
        <v>0.5458333333333333</v>
      </c>
      <c r="H30" s="5"/>
      <c r="I30" s="150">
        <v>0.7451388888888889</v>
      </c>
      <c r="J30" s="5"/>
      <c r="K30" s="124"/>
      <c r="L30" s="29">
        <v>-6.0</v>
      </c>
      <c r="M30" s="29">
        <v>30.0</v>
      </c>
      <c r="N30" s="13"/>
      <c r="O30" s="13"/>
      <c r="P30" s="13"/>
      <c r="Q30" s="13"/>
      <c r="R30" s="13"/>
      <c r="S30" s="13"/>
    </row>
    <row r="31">
      <c r="A31" s="149">
        <v>24.0</v>
      </c>
      <c r="B31" s="158" t="s">
        <v>58</v>
      </c>
      <c r="C31" s="150">
        <v>0.3506944444444444</v>
      </c>
      <c r="D31" s="5"/>
      <c r="E31" s="150">
        <v>0.5090277777777777</v>
      </c>
      <c r="F31" s="5"/>
      <c r="G31" s="150">
        <v>0.5479166666666667</v>
      </c>
      <c r="H31" s="5"/>
      <c r="I31" s="150">
        <v>0.7444444444444445</v>
      </c>
      <c r="J31" s="5"/>
      <c r="K31" s="124"/>
      <c r="L31" s="29">
        <v>0.0</v>
      </c>
      <c r="M31" s="29">
        <v>30.0</v>
      </c>
      <c r="N31" s="13"/>
      <c r="O31" s="13"/>
      <c r="P31" s="13"/>
      <c r="Q31" s="13"/>
      <c r="R31" s="13"/>
      <c r="S31" s="13"/>
    </row>
    <row r="32">
      <c r="A32" s="149">
        <v>25.0</v>
      </c>
      <c r="B32" s="159" t="s">
        <v>18</v>
      </c>
      <c r="C32" s="150">
        <v>0.35138888888888886</v>
      </c>
      <c r="D32" s="5"/>
      <c r="E32" s="150">
        <v>0.5013888888888889</v>
      </c>
      <c r="F32" s="5"/>
      <c r="G32" s="150">
        <v>0.5451388888888888</v>
      </c>
      <c r="H32" s="5"/>
      <c r="I32" s="150">
        <v>0.7479166666666667</v>
      </c>
      <c r="J32" s="5"/>
      <c r="K32" s="6"/>
      <c r="L32" s="29">
        <v>0.0</v>
      </c>
      <c r="M32" s="29">
        <v>30.0</v>
      </c>
      <c r="N32" s="13"/>
      <c r="O32" s="13"/>
      <c r="P32" s="13"/>
      <c r="Q32" s="13"/>
      <c r="R32" s="13"/>
      <c r="S32" s="13"/>
    </row>
    <row r="33">
      <c r="A33" s="149">
        <v>26.0</v>
      </c>
      <c r="B33" s="159" t="s">
        <v>19</v>
      </c>
      <c r="C33" s="150">
        <v>0.35</v>
      </c>
      <c r="D33" s="5"/>
      <c r="E33" s="150">
        <v>0.5055555555555555</v>
      </c>
      <c r="F33" s="5"/>
      <c r="G33" s="150">
        <v>0.5472222222222223</v>
      </c>
      <c r="H33" s="5"/>
      <c r="I33" s="150">
        <v>0.7423611111111111</v>
      </c>
      <c r="J33" s="5"/>
      <c r="K33" s="6"/>
      <c r="L33" s="29">
        <v>0.0</v>
      </c>
      <c r="M33" s="29">
        <v>30.0</v>
      </c>
      <c r="N33" s="93" t="s">
        <v>190</v>
      </c>
      <c r="O33" s="189">
        <v>-0.37777777777777777</v>
      </c>
      <c r="P33" s="94">
        <v>0.3541666666666667</v>
      </c>
      <c r="Q33" s="13"/>
      <c r="R33" s="13"/>
      <c r="S33" s="29" t="s">
        <v>106</v>
      </c>
    </row>
    <row r="34">
      <c r="A34" s="149">
        <v>27.0</v>
      </c>
      <c r="B34" s="209" t="s">
        <v>20</v>
      </c>
      <c r="C34" s="150">
        <v>0.3506944444444444</v>
      </c>
      <c r="D34" s="5"/>
      <c r="E34" s="150">
        <v>0.5173611111111112</v>
      </c>
      <c r="F34" s="5"/>
      <c r="G34" s="150">
        <v>0.5590277777777778</v>
      </c>
      <c r="H34" s="5"/>
      <c r="I34" s="150">
        <v>0.7416666666666667</v>
      </c>
      <c r="J34" s="5"/>
      <c r="K34" s="6"/>
      <c r="L34" s="29">
        <v>-7.0</v>
      </c>
      <c r="M34" s="29">
        <v>30.0</v>
      </c>
      <c r="N34" s="29"/>
      <c r="O34" s="37"/>
      <c r="P34" s="35"/>
      <c r="Q34" s="44"/>
      <c r="R34" s="44"/>
      <c r="S34" s="45"/>
      <c r="T34" s="45"/>
      <c r="U34" s="44"/>
      <c r="V34" s="13"/>
    </row>
    <row r="35">
      <c r="A35" s="149">
        <v>28.0</v>
      </c>
      <c r="B35" s="159" t="s">
        <v>21</v>
      </c>
      <c r="C35" s="150">
        <v>0.3368055555555556</v>
      </c>
      <c r="D35" s="5"/>
      <c r="E35" s="147" t="s">
        <v>103</v>
      </c>
      <c r="F35" s="5"/>
      <c r="G35" s="147" t="s">
        <v>103</v>
      </c>
      <c r="H35" s="5"/>
      <c r="I35" s="150">
        <v>0.49236111111111114</v>
      </c>
      <c r="J35" s="5"/>
      <c r="L35" s="29">
        <v>-6.0</v>
      </c>
      <c r="M35" s="211"/>
      <c r="N35" s="93" t="s">
        <v>190</v>
      </c>
      <c r="O35" s="189">
        <v>-0.38680555555555557</v>
      </c>
      <c r="P35" s="94">
        <v>0.375</v>
      </c>
      <c r="Q35" s="13"/>
      <c r="R35" s="13"/>
      <c r="S35" s="13"/>
      <c r="T35" s="13"/>
      <c r="U35" s="13"/>
      <c r="V35" s="13"/>
    </row>
    <row r="36">
      <c r="A36" s="163">
        <v>29.0</v>
      </c>
      <c r="B36" s="159" t="s">
        <v>23</v>
      </c>
      <c r="C36" s="147" t="s">
        <v>103</v>
      </c>
      <c r="D36" s="5"/>
      <c r="E36" s="147" t="s">
        <v>103</v>
      </c>
      <c r="F36" s="5"/>
      <c r="G36" s="147" t="s">
        <v>103</v>
      </c>
      <c r="H36" s="5"/>
      <c r="I36" s="147" t="s">
        <v>103</v>
      </c>
      <c r="J36" s="5"/>
      <c r="K36" s="6"/>
      <c r="L36" s="29"/>
      <c r="M36" s="29"/>
      <c r="N36" s="13"/>
      <c r="O36" s="13"/>
      <c r="P36" s="13"/>
      <c r="Q36" s="13"/>
      <c r="R36" s="13"/>
      <c r="S36" s="13"/>
    </row>
    <row r="37">
      <c r="A37" s="163">
        <v>30.0</v>
      </c>
      <c r="B37" s="159" t="s">
        <v>202</v>
      </c>
      <c r="C37" s="151">
        <v>0.34930555555555554</v>
      </c>
      <c r="D37" s="5"/>
      <c r="E37" s="151">
        <v>0.5013888888888889</v>
      </c>
      <c r="F37" s="5"/>
      <c r="G37" s="151">
        <v>0.5430555555555555</v>
      </c>
      <c r="H37" s="5"/>
      <c r="I37" s="151">
        <v>0.7416666666666667</v>
      </c>
      <c r="J37" s="5"/>
      <c r="K37" s="6"/>
      <c r="L37" s="29" t="s">
        <v>252</v>
      </c>
      <c r="M37" s="29">
        <v>30.0</v>
      </c>
      <c r="N37" s="93" t="s">
        <v>190</v>
      </c>
      <c r="O37" s="189">
        <v>-0.38680555555555557</v>
      </c>
      <c r="P37" s="94">
        <v>0.3958333333333333</v>
      </c>
      <c r="Q37" s="13"/>
      <c r="R37" s="13"/>
      <c r="S37" s="13"/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3"/>
      <c r="M38" s="13"/>
      <c r="N38" s="13"/>
      <c r="O38" s="29"/>
      <c r="P38" s="13"/>
      <c r="Q38" s="13"/>
      <c r="R38" s="13"/>
      <c r="S38" s="13"/>
    </row>
    <row r="39">
      <c r="A39" s="107" t="s">
        <v>253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29"/>
      <c r="O39" s="13"/>
      <c r="P39" s="13"/>
      <c r="Q39" s="13"/>
      <c r="R39" s="13"/>
      <c r="S39" s="13"/>
    </row>
    <row r="40">
      <c r="A40" s="107" t="s">
        <v>254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13"/>
      <c r="Q40" s="13"/>
      <c r="R40" s="13"/>
      <c r="S40" s="13"/>
    </row>
    <row r="41">
      <c r="A41" s="132" t="s">
        <v>255</v>
      </c>
      <c r="B41" s="3"/>
      <c r="C41" s="3"/>
      <c r="D41" s="3"/>
      <c r="E41" s="3"/>
      <c r="F41" s="3"/>
      <c r="G41" s="3"/>
      <c r="H41" s="3"/>
      <c r="I41" s="3"/>
      <c r="J41" s="2"/>
      <c r="K41" s="6"/>
      <c r="L41" s="13"/>
      <c r="M41" s="13"/>
      <c r="N41" s="13"/>
      <c r="O41" s="13"/>
      <c r="P41" s="13"/>
    </row>
    <row r="42">
      <c r="A42" s="110" t="s">
        <v>35</v>
      </c>
      <c r="B42" s="111"/>
      <c r="C42" s="111"/>
      <c r="D42" s="111"/>
      <c r="E42" s="111"/>
      <c r="F42" s="111"/>
      <c r="G42" s="3"/>
      <c r="H42" s="111"/>
      <c r="I42" s="111"/>
      <c r="J42" s="212"/>
      <c r="K42" s="6"/>
      <c r="M42" s="41"/>
    </row>
    <row r="43" ht="2.25" customHeight="1">
      <c r="A43" s="213"/>
      <c r="B43" s="115"/>
      <c r="C43" s="115"/>
      <c r="D43" s="115"/>
      <c r="F43" s="115"/>
      <c r="H43" s="115"/>
      <c r="I43" s="115"/>
      <c r="J43" s="117"/>
      <c r="K43" s="6"/>
      <c r="M43" s="41"/>
    </row>
    <row r="44">
      <c r="A44" s="114" t="s">
        <v>36</v>
      </c>
      <c r="B44" s="115"/>
      <c r="C44" s="116" t="s">
        <v>37</v>
      </c>
      <c r="J44" s="8"/>
      <c r="K44" s="6"/>
      <c r="M44" s="41"/>
      <c r="O44" s="41"/>
    </row>
    <row r="45" ht="11.25" customHeight="1">
      <c r="A45" s="118"/>
      <c r="B45" s="119"/>
      <c r="C45" s="119"/>
      <c r="D45" s="119"/>
      <c r="E45" s="11"/>
      <c r="F45" s="119"/>
      <c r="G45" s="11"/>
      <c r="H45" s="119"/>
      <c r="I45" s="119"/>
      <c r="J45" s="120"/>
      <c r="K45" s="6"/>
      <c r="O45" s="41"/>
    </row>
  </sheetData>
  <mergeCells count="138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C25:D25"/>
    <mergeCell ref="E25:F25"/>
    <mergeCell ref="G25:H25"/>
    <mergeCell ref="I25:J25"/>
    <mergeCell ref="C26:J26"/>
    <mergeCell ref="I27:J27"/>
    <mergeCell ref="C27:D27"/>
    <mergeCell ref="C28:D28"/>
    <mergeCell ref="E28:F28"/>
    <mergeCell ref="G28:H28"/>
    <mergeCell ref="I28:J28"/>
    <mergeCell ref="C29:D29"/>
    <mergeCell ref="E29:F29"/>
    <mergeCell ref="E31:F31"/>
    <mergeCell ref="G31:H31"/>
    <mergeCell ref="G29:H29"/>
    <mergeCell ref="I29:J29"/>
    <mergeCell ref="C30:D30"/>
    <mergeCell ref="E30:F30"/>
    <mergeCell ref="G30:H30"/>
    <mergeCell ref="I30:J30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3:E43"/>
    <mergeCell ref="D45:E45"/>
    <mergeCell ref="F45:G45"/>
    <mergeCell ref="A38:J38"/>
    <mergeCell ref="A39:J39"/>
    <mergeCell ref="A40:J40"/>
    <mergeCell ref="A41:J41"/>
    <mergeCell ref="F42:G42"/>
    <mergeCell ref="F43:G43"/>
    <mergeCell ref="C44:J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E24:F24"/>
    <mergeCell ref="G24:H24"/>
    <mergeCell ref="C21:D21"/>
    <mergeCell ref="C22:D22"/>
    <mergeCell ref="E22:F22"/>
    <mergeCell ref="G22:H22"/>
    <mergeCell ref="I22:J22"/>
    <mergeCell ref="C23:J23"/>
    <mergeCell ref="I24:J24"/>
    <mergeCell ref="E27:F27"/>
    <mergeCell ref="G27:H27"/>
    <mergeCell ref="G37:H37"/>
    <mergeCell ref="I37:J37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1" width="14.88"/>
    <col customWidth="1" min="16" max="16" width="7.5"/>
  </cols>
  <sheetData>
    <row r="1">
      <c r="A1" s="169" t="s">
        <v>0</v>
      </c>
      <c r="B1" s="3"/>
      <c r="C1" s="170" t="s">
        <v>1</v>
      </c>
      <c r="D1" s="3"/>
      <c r="E1" s="3"/>
      <c r="F1" s="3"/>
      <c r="G1" s="3"/>
      <c r="H1" s="3"/>
      <c r="I1" s="171" t="s">
        <v>2</v>
      </c>
      <c r="J1" s="5"/>
      <c r="K1" s="6"/>
    </row>
    <row r="2">
      <c r="A2" s="7"/>
      <c r="C2" s="7"/>
      <c r="I2" s="171" t="s">
        <v>3</v>
      </c>
      <c r="J2" s="5"/>
      <c r="K2" s="6"/>
    </row>
    <row r="3">
      <c r="A3" s="7"/>
      <c r="C3" s="7"/>
      <c r="I3" s="171" t="s">
        <v>4</v>
      </c>
      <c r="J3" s="5"/>
      <c r="K3" s="6"/>
    </row>
    <row r="4">
      <c r="A4" s="172" t="s">
        <v>5</v>
      </c>
      <c r="B4" s="214" t="s">
        <v>181</v>
      </c>
      <c r="C4" s="15"/>
      <c r="D4" s="15"/>
      <c r="E4" s="15"/>
      <c r="F4" s="15"/>
      <c r="G4" s="215"/>
      <c r="H4" s="3"/>
      <c r="I4" s="215"/>
      <c r="J4" s="216"/>
      <c r="K4" s="6"/>
    </row>
    <row r="5">
      <c r="A5" s="175" t="s">
        <v>7</v>
      </c>
      <c r="B5" s="217" t="s">
        <v>41</v>
      </c>
      <c r="C5" s="3"/>
      <c r="D5" s="3"/>
      <c r="E5" s="3"/>
      <c r="F5" s="177" t="s">
        <v>9</v>
      </c>
      <c r="G5" s="178"/>
      <c r="H5" s="179"/>
      <c r="I5" s="179"/>
      <c r="J5" s="179"/>
      <c r="K5" s="6"/>
      <c r="L5" s="13"/>
      <c r="M5" s="13"/>
      <c r="N5" s="13"/>
      <c r="O5" s="13"/>
      <c r="P5" s="13"/>
    </row>
    <row r="6">
      <c r="A6" s="218" t="s">
        <v>10</v>
      </c>
      <c r="B6" s="176" t="s">
        <v>256</v>
      </c>
      <c r="C6" s="15"/>
      <c r="D6" s="15"/>
      <c r="E6" s="15"/>
      <c r="F6" s="180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6"/>
      <c r="L7" s="13"/>
      <c r="M7" s="13"/>
      <c r="N7" s="13"/>
      <c r="O7" s="13"/>
      <c r="P7" s="13"/>
    </row>
    <row r="8">
      <c r="A8" s="205">
        <v>1.0</v>
      </c>
      <c r="B8" s="199" t="s">
        <v>26</v>
      </c>
      <c r="C8" s="147" t="s">
        <v>78</v>
      </c>
      <c r="D8" s="15"/>
      <c r="E8" s="15"/>
      <c r="F8" s="15"/>
      <c r="G8" s="15"/>
      <c r="H8" s="15"/>
      <c r="I8" s="15"/>
      <c r="J8" s="5"/>
      <c r="K8" s="6"/>
      <c r="L8" s="13"/>
      <c r="M8" s="13"/>
      <c r="N8" s="13"/>
      <c r="O8" s="13"/>
      <c r="P8" s="13"/>
    </row>
    <row r="9">
      <c r="A9" s="206">
        <v>2.0</v>
      </c>
      <c r="B9" s="200" t="s">
        <v>20</v>
      </c>
      <c r="C9" s="151">
        <v>0.35208333333333336</v>
      </c>
      <c r="D9" s="15"/>
      <c r="E9" s="151">
        <v>0.5458333333333333</v>
      </c>
      <c r="F9" s="15"/>
      <c r="G9" s="151">
        <v>0.5840277777777778</v>
      </c>
      <c r="H9" s="15"/>
      <c r="I9" s="151">
        <v>0.7430555555555556</v>
      </c>
      <c r="J9" s="5"/>
      <c r="K9" s="6"/>
      <c r="L9" s="29">
        <v>0.0</v>
      </c>
      <c r="M9" s="29">
        <v>30.0</v>
      </c>
      <c r="N9" s="13"/>
      <c r="O9" s="13"/>
      <c r="P9" s="13"/>
    </row>
    <row r="10">
      <c r="A10" s="206">
        <v>3.0</v>
      </c>
      <c r="B10" s="201" t="s">
        <v>28</v>
      </c>
      <c r="C10" s="151">
        <v>0.32916666666666666</v>
      </c>
      <c r="D10" s="15"/>
      <c r="E10" s="181" t="s">
        <v>103</v>
      </c>
      <c r="F10" s="15"/>
      <c r="G10" s="181" t="s">
        <v>103</v>
      </c>
      <c r="H10" s="15"/>
      <c r="I10" s="151">
        <v>0.5027777777777778</v>
      </c>
      <c r="J10" s="5"/>
      <c r="K10" s="6"/>
      <c r="L10" s="29">
        <v>10.0</v>
      </c>
      <c r="M10" s="13"/>
      <c r="N10" s="13"/>
      <c r="O10" s="13"/>
      <c r="P10" s="13"/>
    </row>
    <row r="11">
      <c r="A11" s="206">
        <v>4.0</v>
      </c>
      <c r="B11" s="199" t="s">
        <v>23</v>
      </c>
      <c r="C11" s="181" t="s">
        <v>103</v>
      </c>
      <c r="D11" s="15"/>
      <c r="E11" s="181" t="s">
        <v>103</v>
      </c>
      <c r="F11" s="15"/>
      <c r="G11" s="181" t="s">
        <v>103</v>
      </c>
      <c r="H11" s="15"/>
      <c r="I11" s="181" t="s">
        <v>103</v>
      </c>
      <c r="J11" s="5"/>
      <c r="K11" s="6"/>
      <c r="L11" s="13"/>
      <c r="M11" s="13"/>
      <c r="N11" s="13"/>
      <c r="O11" s="13"/>
      <c r="P11" s="13"/>
    </row>
    <row r="12">
      <c r="A12" s="206">
        <v>5.0</v>
      </c>
      <c r="B12" s="201" t="s">
        <v>257</v>
      </c>
      <c r="C12" s="151">
        <v>0.3506944444444444</v>
      </c>
      <c r="D12" s="15"/>
      <c r="E12" s="151">
        <v>0.5402777777777777</v>
      </c>
      <c r="F12" s="15"/>
      <c r="G12" s="151">
        <v>0.5833333333333334</v>
      </c>
      <c r="H12" s="15"/>
      <c r="I12" s="151">
        <v>0.7472222222222222</v>
      </c>
      <c r="J12" s="5"/>
      <c r="K12" s="6"/>
      <c r="L12" s="29">
        <v>0.0</v>
      </c>
      <c r="M12" s="29">
        <v>30.0</v>
      </c>
      <c r="N12" s="13"/>
      <c r="O12" s="13"/>
      <c r="P12" s="13"/>
    </row>
    <row r="13">
      <c r="A13" s="206">
        <v>6.0</v>
      </c>
      <c r="B13" s="201" t="s">
        <v>25</v>
      </c>
      <c r="C13" s="150">
        <v>0.3541666666666667</v>
      </c>
      <c r="D13" s="15"/>
      <c r="E13" s="150">
        <v>0.5423611111111111</v>
      </c>
      <c r="F13" s="15"/>
      <c r="G13" s="150">
        <v>0.5826388888888889</v>
      </c>
      <c r="H13" s="15"/>
      <c r="I13" s="150">
        <v>0.7472222222222222</v>
      </c>
      <c r="J13" s="5"/>
      <c r="K13" s="6"/>
      <c r="L13" s="29">
        <v>0.0</v>
      </c>
      <c r="M13" s="29">
        <v>30.0</v>
      </c>
      <c r="N13" s="13"/>
      <c r="O13" s="13"/>
      <c r="P13" s="13"/>
    </row>
    <row r="14">
      <c r="A14" s="206">
        <v>7.0</v>
      </c>
      <c r="B14" s="201" t="s">
        <v>18</v>
      </c>
      <c r="C14" s="147" t="s">
        <v>103</v>
      </c>
      <c r="D14" s="15"/>
      <c r="E14" s="150">
        <v>0.5444444444444444</v>
      </c>
      <c r="F14" s="15"/>
      <c r="G14" s="150">
        <v>0.5826388888888889</v>
      </c>
      <c r="H14" s="15"/>
      <c r="I14" s="150">
        <v>0.7486111111111111</v>
      </c>
      <c r="J14" s="5"/>
      <c r="K14" s="6"/>
      <c r="L14" s="29">
        <v>0.0</v>
      </c>
      <c r="M14" s="29">
        <v>30.0</v>
      </c>
      <c r="N14" s="13"/>
      <c r="O14" s="13"/>
      <c r="P14" s="13"/>
    </row>
    <row r="15">
      <c r="A15" s="206">
        <v>8.0</v>
      </c>
      <c r="B15" s="199" t="s">
        <v>26</v>
      </c>
      <c r="C15" s="150">
        <v>0.3506944444444444</v>
      </c>
      <c r="D15" s="15"/>
      <c r="E15" s="150">
        <v>0.5416666666666666</v>
      </c>
      <c r="F15" s="15"/>
      <c r="G15" s="150">
        <v>0.5826388888888889</v>
      </c>
      <c r="H15" s="15"/>
      <c r="I15" s="150">
        <v>0.7430555555555556</v>
      </c>
      <c r="J15" s="5"/>
      <c r="K15" s="6"/>
      <c r="L15" s="29">
        <v>0.0</v>
      </c>
      <c r="M15" s="29">
        <v>30.0</v>
      </c>
      <c r="N15" s="13"/>
      <c r="O15" s="13"/>
      <c r="P15" s="13"/>
    </row>
    <row r="16">
      <c r="A16" s="206">
        <v>9.0</v>
      </c>
      <c r="B16" s="200" t="s">
        <v>20</v>
      </c>
      <c r="C16" s="151">
        <v>0.3486111111111111</v>
      </c>
      <c r="D16" s="15"/>
      <c r="E16" s="151">
        <v>0.5409722222222222</v>
      </c>
      <c r="F16" s="15"/>
      <c r="G16" s="151">
        <v>0.5868055555555556</v>
      </c>
      <c r="H16" s="15"/>
      <c r="I16" s="181" t="s">
        <v>258</v>
      </c>
      <c r="J16" s="5"/>
      <c r="K16" s="6"/>
      <c r="L16" s="29">
        <v>-7.0</v>
      </c>
      <c r="M16" s="29">
        <v>30.0</v>
      </c>
      <c r="N16" s="13"/>
      <c r="O16" s="13"/>
      <c r="P16" s="13"/>
    </row>
    <row r="17">
      <c r="A17" s="206">
        <v>10.0</v>
      </c>
      <c r="B17" s="201" t="s">
        <v>21</v>
      </c>
      <c r="C17" s="150">
        <v>0.33125</v>
      </c>
      <c r="D17" s="15"/>
      <c r="E17" s="147" t="s">
        <v>103</v>
      </c>
      <c r="F17" s="15"/>
      <c r="G17" s="147" t="s">
        <v>103</v>
      </c>
      <c r="H17" s="15"/>
      <c r="I17" s="150">
        <v>0.4965277777777778</v>
      </c>
      <c r="J17" s="5"/>
      <c r="K17" s="6"/>
      <c r="L17" s="29">
        <v>0.0</v>
      </c>
      <c r="M17" s="13"/>
      <c r="N17" s="13"/>
      <c r="O17" s="13"/>
      <c r="P17" s="13"/>
    </row>
    <row r="18">
      <c r="A18" s="206">
        <v>11.0</v>
      </c>
      <c r="B18" s="199" t="s">
        <v>23</v>
      </c>
      <c r="C18" s="147" t="s">
        <v>103</v>
      </c>
      <c r="D18" s="15"/>
      <c r="E18" s="147" t="s">
        <v>103</v>
      </c>
      <c r="F18" s="15"/>
      <c r="G18" s="147" t="s">
        <v>103</v>
      </c>
      <c r="H18" s="15"/>
      <c r="I18" s="147" t="s">
        <v>103</v>
      </c>
      <c r="J18" s="5"/>
      <c r="K18" s="6"/>
      <c r="L18" s="13"/>
      <c r="M18" s="13"/>
      <c r="N18" s="13"/>
      <c r="O18" s="35"/>
      <c r="P18" s="13"/>
    </row>
    <row r="19">
      <c r="A19" s="206">
        <v>12.0</v>
      </c>
      <c r="B19" s="200" t="s">
        <v>24</v>
      </c>
      <c r="C19" s="150">
        <v>0.35</v>
      </c>
      <c r="D19" s="15"/>
      <c r="E19" s="150">
        <v>0.5423611111111111</v>
      </c>
      <c r="F19" s="15"/>
      <c r="G19" s="150">
        <v>0.5833333333333334</v>
      </c>
      <c r="H19" s="15"/>
      <c r="I19" s="150">
        <v>0.7444444444444445</v>
      </c>
      <c r="J19" s="5"/>
      <c r="K19" s="6"/>
      <c r="L19" s="29">
        <v>0.0</v>
      </c>
      <c r="M19" s="29">
        <v>30.0</v>
      </c>
      <c r="N19" s="13"/>
      <c r="O19" s="35"/>
      <c r="P19" s="13"/>
    </row>
    <row r="20">
      <c r="A20" s="206">
        <v>13.0</v>
      </c>
      <c r="B20" s="200" t="s">
        <v>58</v>
      </c>
      <c r="C20" s="150">
        <v>0.35</v>
      </c>
      <c r="D20" s="15"/>
      <c r="E20" s="150">
        <v>0.5409722222222222</v>
      </c>
      <c r="F20" s="15"/>
      <c r="G20" s="150">
        <v>0.5826388888888889</v>
      </c>
      <c r="H20" s="15"/>
      <c r="I20" s="150">
        <v>0.7479166666666667</v>
      </c>
      <c r="J20" s="5"/>
      <c r="K20" s="6"/>
      <c r="L20" s="29">
        <v>0.0</v>
      </c>
      <c r="M20" s="29">
        <v>30.0</v>
      </c>
      <c r="N20" s="13"/>
      <c r="O20" s="13"/>
      <c r="P20" s="13"/>
    </row>
    <row r="21">
      <c r="A21" s="206">
        <v>14.0</v>
      </c>
      <c r="B21" s="201" t="s">
        <v>18</v>
      </c>
      <c r="C21" s="150">
        <v>0.3486111111111111</v>
      </c>
      <c r="D21" s="15"/>
      <c r="E21" s="150">
        <v>0.5479166666666667</v>
      </c>
      <c r="F21" s="15"/>
      <c r="G21" s="150">
        <v>0.5895833333333333</v>
      </c>
      <c r="H21" s="15"/>
      <c r="I21" s="150">
        <v>0.74375</v>
      </c>
      <c r="J21" s="5"/>
      <c r="K21" s="124"/>
      <c r="L21" s="29">
        <v>0.0</v>
      </c>
      <c r="M21" s="29">
        <v>30.0</v>
      </c>
      <c r="N21" s="13"/>
      <c r="O21" s="13"/>
      <c r="P21" s="13"/>
    </row>
    <row r="22">
      <c r="A22" s="206">
        <v>15.0</v>
      </c>
      <c r="B22" s="199" t="s">
        <v>259</v>
      </c>
      <c r="C22" s="150">
        <v>0.34930555555555554</v>
      </c>
      <c r="D22" s="15"/>
      <c r="E22" s="150">
        <v>0.5416666666666666</v>
      </c>
      <c r="F22" s="15"/>
      <c r="G22" s="150">
        <v>0.5833333333333334</v>
      </c>
      <c r="H22" s="15"/>
      <c r="I22" s="150">
        <v>0.7444444444444445</v>
      </c>
      <c r="J22" s="5"/>
      <c r="K22" s="6"/>
      <c r="L22" s="29">
        <v>0.0</v>
      </c>
      <c r="M22" s="29">
        <v>30.0</v>
      </c>
      <c r="N22" s="93" t="s">
        <v>260</v>
      </c>
      <c r="O22" s="183">
        <v>-7.0</v>
      </c>
      <c r="P22" s="94">
        <v>0.2152777777777778</v>
      </c>
    </row>
    <row r="23">
      <c r="A23" s="206">
        <v>16.0</v>
      </c>
      <c r="B23" s="200" t="s">
        <v>20</v>
      </c>
      <c r="C23" s="151">
        <v>0.3506944444444444</v>
      </c>
      <c r="D23" s="15"/>
      <c r="E23" s="151">
        <v>0.5416666666666666</v>
      </c>
      <c r="F23" s="15"/>
      <c r="G23" s="151">
        <v>0.5826388888888889</v>
      </c>
      <c r="H23" s="15"/>
      <c r="I23" s="151">
        <v>0.7451388888888889</v>
      </c>
      <c r="J23" s="5"/>
      <c r="K23" s="6"/>
      <c r="L23" s="29">
        <v>0.0</v>
      </c>
      <c r="M23" s="29">
        <v>30.0</v>
      </c>
      <c r="N23" s="13"/>
      <c r="O23" s="13"/>
      <c r="P23" s="13"/>
    </row>
    <row r="24">
      <c r="A24" s="206">
        <v>17.0</v>
      </c>
      <c r="B24" s="201" t="s">
        <v>21</v>
      </c>
      <c r="C24" s="150">
        <v>0.34930555555555554</v>
      </c>
      <c r="D24" s="15"/>
      <c r="E24" s="147" t="s">
        <v>103</v>
      </c>
      <c r="F24" s="15"/>
      <c r="G24" s="147" t="s">
        <v>103</v>
      </c>
      <c r="H24" s="15"/>
      <c r="I24" s="150">
        <v>0.4965277777777778</v>
      </c>
      <c r="J24" s="5"/>
      <c r="K24" s="6"/>
      <c r="L24" s="29">
        <v>0.0</v>
      </c>
      <c r="M24" s="13"/>
      <c r="N24" s="13"/>
      <c r="O24" s="13"/>
      <c r="P24" s="13"/>
    </row>
    <row r="25">
      <c r="A25" s="206">
        <v>18.0</v>
      </c>
      <c r="B25" s="199" t="s">
        <v>30</v>
      </c>
      <c r="C25" s="147" t="s">
        <v>103</v>
      </c>
      <c r="D25" s="5"/>
      <c r="E25" s="147" t="s">
        <v>103</v>
      </c>
      <c r="F25" s="5"/>
      <c r="G25" s="147" t="s">
        <v>103</v>
      </c>
      <c r="H25" s="5"/>
      <c r="I25" s="147" t="s">
        <v>103</v>
      </c>
      <c r="J25" s="5"/>
      <c r="K25" s="6"/>
      <c r="L25" s="13"/>
      <c r="M25" s="13"/>
      <c r="N25" s="13"/>
      <c r="O25" s="13"/>
      <c r="P25" s="13"/>
    </row>
    <row r="26">
      <c r="A26" s="206">
        <v>19.0</v>
      </c>
      <c r="B26" s="200" t="s">
        <v>24</v>
      </c>
      <c r="C26" s="150">
        <v>0.34930555555555554</v>
      </c>
      <c r="D26" s="5"/>
      <c r="E26" s="150">
        <v>0.5409722222222222</v>
      </c>
      <c r="F26" s="5"/>
      <c r="G26" s="150">
        <v>0.5826388888888889</v>
      </c>
      <c r="H26" s="5"/>
      <c r="I26" s="150">
        <v>0.7479166666666667</v>
      </c>
      <c r="J26" s="5"/>
      <c r="K26" s="127"/>
      <c r="L26" s="29">
        <v>0.0</v>
      </c>
      <c r="M26" s="29">
        <v>30.0</v>
      </c>
      <c r="N26" s="219" t="s">
        <v>190</v>
      </c>
      <c r="O26" s="220">
        <v>-7.0</v>
      </c>
      <c r="P26" s="221">
        <v>0.2569444444444444</v>
      </c>
      <c r="R26" s="142" t="s">
        <v>154</v>
      </c>
    </row>
    <row r="27">
      <c r="A27" s="206">
        <v>20.0</v>
      </c>
      <c r="B27" s="200" t="s">
        <v>25</v>
      </c>
      <c r="C27" s="150">
        <v>0.35</v>
      </c>
      <c r="D27" s="5"/>
      <c r="E27" s="150">
        <v>0.5451388888888888</v>
      </c>
      <c r="F27" s="5"/>
      <c r="G27" s="150">
        <v>0.5875</v>
      </c>
      <c r="H27" s="5"/>
      <c r="I27" s="150">
        <v>0.7479166666666667</v>
      </c>
      <c r="J27" s="5"/>
      <c r="K27" s="6"/>
      <c r="L27" s="29">
        <v>0.0</v>
      </c>
      <c r="M27" s="29">
        <v>30.0</v>
      </c>
      <c r="N27" s="13"/>
      <c r="O27" s="13"/>
      <c r="P27" s="13"/>
    </row>
    <row r="28">
      <c r="A28" s="206">
        <v>21.0</v>
      </c>
      <c r="B28" s="199" t="s">
        <v>18</v>
      </c>
      <c r="C28" s="150">
        <v>0.35138888888888886</v>
      </c>
      <c r="D28" s="5"/>
      <c r="E28" s="150">
        <v>0.5534722222222223</v>
      </c>
      <c r="F28" s="5"/>
      <c r="G28" s="150">
        <v>0.5930555555555556</v>
      </c>
      <c r="H28" s="5"/>
      <c r="I28" s="150">
        <v>0.7444444444444445</v>
      </c>
      <c r="J28" s="5"/>
      <c r="K28" s="6"/>
      <c r="L28" s="29">
        <v>0.0</v>
      </c>
      <c r="M28" s="29">
        <v>30.0</v>
      </c>
      <c r="N28" s="31"/>
      <c r="O28" s="191"/>
      <c r="P28" s="97"/>
    </row>
    <row r="29">
      <c r="A29" s="206">
        <v>22.0</v>
      </c>
      <c r="B29" s="200" t="s">
        <v>26</v>
      </c>
      <c r="C29" s="150">
        <v>0.3506944444444444</v>
      </c>
      <c r="D29" s="5"/>
      <c r="E29" s="150">
        <v>0.5416666666666666</v>
      </c>
      <c r="F29" s="5"/>
      <c r="G29" s="150">
        <v>0.5826388888888889</v>
      </c>
      <c r="H29" s="5"/>
      <c r="I29" s="150">
        <v>0.7416666666666667</v>
      </c>
      <c r="J29" s="5"/>
      <c r="K29" s="6"/>
      <c r="L29" s="29">
        <v>-6.0</v>
      </c>
      <c r="M29" s="29">
        <v>30.0</v>
      </c>
      <c r="N29" s="13"/>
      <c r="O29" s="13"/>
      <c r="P29" s="13"/>
    </row>
    <row r="30">
      <c r="A30" s="206">
        <v>23.0</v>
      </c>
      <c r="B30" s="200" t="s">
        <v>20</v>
      </c>
      <c r="C30" s="151">
        <v>0.3506944444444444</v>
      </c>
      <c r="D30" s="5"/>
      <c r="E30" s="151">
        <v>0.5486111111111112</v>
      </c>
      <c r="F30" s="5"/>
      <c r="G30" s="151">
        <v>0.5902777777777778</v>
      </c>
      <c r="H30" s="5"/>
      <c r="I30" s="151">
        <v>0.7402777777777778</v>
      </c>
      <c r="J30" s="5"/>
      <c r="K30" s="6"/>
      <c r="L30" s="29">
        <v>-9.0</v>
      </c>
      <c r="M30" s="29">
        <v>30.0</v>
      </c>
      <c r="N30" s="13"/>
      <c r="O30" s="13"/>
      <c r="P30" s="13"/>
    </row>
    <row r="31">
      <c r="A31" s="206">
        <v>24.0</v>
      </c>
      <c r="B31" s="199" t="s">
        <v>21</v>
      </c>
      <c r="C31" s="150">
        <v>0.3284722222222222</v>
      </c>
      <c r="D31" s="15"/>
      <c r="E31" s="147" t="s">
        <v>103</v>
      </c>
      <c r="F31" s="15"/>
      <c r="G31" s="147" t="s">
        <v>103</v>
      </c>
      <c r="H31" s="15"/>
      <c r="I31" s="150">
        <v>0.5055555555555555</v>
      </c>
      <c r="J31" s="5"/>
      <c r="K31" s="6"/>
      <c r="L31" s="29">
        <v>15.0</v>
      </c>
      <c r="M31" s="29"/>
      <c r="N31" s="219" t="s">
        <v>190</v>
      </c>
      <c r="O31" s="220">
        <v>-22.0</v>
      </c>
      <c r="P31" s="221">
        <v>0.3506944444444444</v>
      </c>
    </row>
    <row r="32">
      <c r="A32" s="206">
        <v>25.0</v>
      </c>
      <c r="B32" s="200" t="s">
        <v>30</v>
      </c>
      <c r="C32" s="147" t="s">
        <v>103</v>
      </c>
      <c r="D32" s="15"/>
      <c r="E32" s="147" t="s">
        <v>103</v>
      </c>
      <c r="F32" s="15"/>
      <c r="G32" s="147" t="s">
        <v>103</v>
      </c>
      <c r="H32" s="15"/>
      <c r="I32" s="147" t="s">
        <v>103</v>
      </c>
      <c r="J32" s="5"/>
      <c r="K32" s="6"/>
      <c r="L32" s="13"/>
      <c r="M32" s="13"/>
      <c r="N32" s="13"/>
      <c r="O32" s="13"/>
      <c r="P32" s="13"/>
    </row>
    <row r="33">
      <c r="A33" s="206">
        <v>26.0</v>
      </c>
      <c r="B33" s="200" t="s">
        <v>24</v>
      </c>
      <c r="C33" s="147" t="s">
        <v>62</v>
      </c>
      <c r="D33" s="15"/>
      <c r="E33" s="15"/>
      <c r="F33" s="15"/>
      <c r="G33" s="15"/>
      <c r="H33" s="15"/>
      <c r="I33" s="15"/>
      <c r="J33" s="5"/>
      <c r="K33" s="124"/>
      <c r="L33" s="13"/>
      <c r="M33" s="13"/>
      <c r="N33" s="13"/>
      <c r="O33" s="13"/>
      <c r="P33" s="13"/>
    </row>
    <row r="34">
      <c r="A34" s="208">
        <v>27.0</v>
      </c>
      <c r="B34" s="203" t="s">
        <v>25</v>
      </c>
      <c r="C34" s="147" t="s">
        <v>62</v>
      </c>
      <c r="D34" s="15"/>
      <c r="E34" s="15"/>
      <c r="F34" s="15"/>
      <c r="G34" s="15"/>
      <c r="H34" s="15"/>
      <c r="I34" s="15"/>
      <c r="J34" s="5"/>
      <c r="K34" s="124"/>
      <c r="L34" s="13"/>
      <c r="M34" s="13"/>
      <c r="N34" s="13"/>
      <c r="O34" s="13"/>
      <c r="P34" s="13"/>
    </row>
    <row r="35">
      <c r="A35" s="149">
        <v>28.0</v>
      </c>
      <c r="B35" s="200" t="s">
        <v>18</v>
      </c>
      <c r="C35" s="147" t="s">
        <v>62</v>
      </c>
      <c r="D35" s="15"/>
      <c r="E35" s="15"/>
      <c r="F35" s="15"/>
      <c r="G35" s="15"/>
      <c r="H35" s="15"/>
      <c r="I35" s="15"/>
      <c r="J35" s="5"/>
      <c r="K35" s="124"/>
      <c r="L35" s="13"/>
      <c r="M35" s="13"/>
      <c r="N35" s="13"/>
      <c r="O35" s="13"/>
      <c r="P35" s="13"/>
    </row>
    <row r="36">
      <c r="A36" s="149">
        <v>29.0</v>
      </c>
      <c r="B36" s="200" t="s">
        <v>26</v>
      </c>
      <c r="C36" s="150">
        <v>0.3486111111111111</v>
      </c>
      <c r="D36" s="15"/>
      <c r="E36" s="150">
        <v>0.5416666666666666</v>
      </c>
      <c r="F36" s="15"/>
      <c r="G36" s="150">
        <v>0.5833333333333334</v>
      </c>
      <c r="H36" s="15"/>
      <c r="I36" s="150">
        <v>0.7430555555555556</v>
      </c>
      <c r="J36" s="5"/>
      <c r="K36" s="6"/>
      <c r="L36" s="29">
        <v>0.0</v>
      </c>
      <c r="M36" s="29">
        <v>30.0</v>
      </c>
      <c r="N36" s="29"/>
      <c r="O36" s="35"/>
      <c r="P36" s="13"/>
    </row>
    <row r="37">
      <c r="A37" s="149">
        <v>30.0</v>
      </c>
      <c r="B37" s="200" t="s">
        <v>20</v>
      </c>
      <c r="C37" s="150">
        <v>0.3506944444444444</v>
      </c>
      <c r="D37" s="15"/>
      <c r="E37" s="150">
        <v>0.5409722222222222</v>
      </c>
      <c r="F37" s="15"/>
      <c r="G37" s="150">
        <v>0.5833333333333334</v>
      </c>
      <c r="H37" s="15"/>
      <c r="I37" s="150">
        <v>0.7409722222222223</v>
      </c>
      <c r="J37" s="5"/>
      <c r="K37" s="6"/>
      <c r="L37" s="29">
        <v>0.0</v>
      </c>
      <c r="M37" s="29">
        <v>30.0</v>
      </c>
      <c r="N37" s="219" t="s">
        <v>190</v>
      </c>
      <c r="O37" s="220">
        <v>-22.0</v>
      </c>
      <c r="P37" s="221">
        <v>0.3923611111111111</v>
      </c>
    </row>
    <row r="38">
      <c r="A38" s="149">
        <v>31.0</v>
      </c>
      <c r="B38" s="200" t="s">
        <v>21</v>
      </c>
      <c r="C38" s="150">
        <v>0.33125</v>
      </c>
      <c r="D38" s="15"/>
      <c r="E38" s="147" t="s">
        <v>103</v>
      </c>
      <c r="F38" s="15"/>
      <c r="G38" s="147" t="s">
        <v>103</v>
      </c>
      <c r="H38" s="15"/>
      <c r="I38" s="150">
        <v>0.4701388888888889</v>
      </c>
      <c r="J38" s="5"/>
      <c r="K38" s="6"/>
      <c r="L38" s="29">
        <v>-40.0</v>
      </c>
      <c r="M38" s="13"/>
      <c r="N38" s="219" t="s">
        <v>190</v>
      </c>
      <c r="O38" s="222">
        <v>-0.043055555555555555</v>
      </c>
      <c r="P38" s="221">
        <v>0.3923611111111111</v>
      </c>
    </row>
    <row r="39">
      <c r="A39" s="210" t="s">
        <v>31</v>
      </c>
      <c r="B39" s="11"/>
      <c r="C39" s="11"/>
      <c r="D39" s="11"/>
      <c r="E39" s="11"/>
      <c r="F39" s="11"/>
      <c r="G39" s="11"/>
      <c r="H39" s="11"/>
      <c r="I39" s="11"/>
      <c r="J39" s="10"/>
      <c r="K39" s="6"/>
      <c r="L39" s="13"/>
      <c r="M39" s="13"/>
      <c r="N39" s="13"/>
      <c r="O39" s="13"/>
      <c r="P39" s="13"/>
    </row>
    <row r="40">
      <c r="A40" s="107" t="s">
        <v>261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  <c r="L40" s="13"/>
      <c r="M40" s="13"/>
      <c r="N40" s="13"/>
      <c r="O40" s="13"/>
      <c r="P40" s="13"/>
    </row>
    <row r="41">
      <c r="A41" s="107" t="s">
        <v>262</v>
      </c>
      <c r="B41" s="108"/>
      <c r="C41" s="108"/>
      <c r="D41" s="108"/>
      <c r="E41" s="15"/>
      <c r="F41" s="108"/>
      <c r="G41" s="15"/>
      <c r="H41" s="108"/>
      <c r="I41" s="108"/>
      <c r="J41" s="109"/>
      <c r="K41" s="6"/>
      <c r="L41" s="13"/>
      <c r="M41" s="13"/>
      <c r="N41" s="35"/>
      <c r="O41" s="13"/>
      <c r="P41" s="13"/>
    </row>
    <row r="42">
      <c r="A42" s="107" t="s">
        <v>263</v>
      </c>
      <c r="B42" s="108"/>
      <c r="C42" s="108"/>
      <c r="D42" s="108"/>
      <c r="E42" s="15"/>
      <c r="F42" s="108"/>
      <c r="G42" s="15"/>
      <c r="H42" s="108"/>
      <c r="I42" s="108"/>
      <c r="J42" s="109"/>
      <c r="K42" s="12"/>
      <c r="L42" s="13"/>
      <c r="M42" s="13"/>
      <c r="N42" s="35"/>
      <c r="O42" s="13"/>
      <c r="P42" s="13"/>
    </row>
    <row r="43">
      <c r="A43" s="133" t="s">
        <v>35</v>
      </c>
      <c r="B43" s="134"/>
      <c r="C43" s="134"/>
      <c r="D43" s="134"/>
      <c r="E43" s="134"/>
      <c r="F43" s="223"/>
      <c r="H43" s="223"/>
      <c r="I43" s="223"/>
      <c r="J43" s="224"/>
      <c r="K43" s="6"/>
      <c r="L43" s="13"/>
      <c r="M43" s="13"/>
      <c r="N43" s="13"/>
      <c r="O43" s="13"/>
      <c r="P43" s="13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L44" s="13"/>
      <c r="M44" s="13"/>
      <c r="N44" s="13"/>
      <c r="O44" s="13"/>
      <c r="P44" s="13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O45" s="41"/>
    </row>
  </sheetData>
  <mergeCells count="138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F7:G7"/>
    <mergeCell ref="I7:J7"/>
    <mergeCell ref="C8:J8"/>
    <mergeCell ref="G10:H10"/>
    <mergeCell ref="I10:J10"/>
    <mergeCell ref="C7:D7"/>
    <mergeCell ref="C9:D9"/>
    <mergeCell ref="E9:F9"/>
    <mergeCell ref="G9:H9"/>
    <mergeCell ref="I9:J9"/>
    <mergeCell ref="C10:D10"/>
    <mergeCell ref="E10:F10"/>
    <mergeCell ref="C11:D11"/>
    <mergeCell ref="E11:F11"/>
    <mergeCell ref="G11:H11"/>
    <mergeCell ref="I11:J11"/>
    <mergeCell ref="E12:F12"/>
    <mergeCell ref="G12:H12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C32:D32"/>
    <mergeCell ref="E32:F32"/>
    <mergeCell ref="G32:H32"/>
    <mergeCell ref="I32:J32"/>
    <mergeCell ref="C33:J33"/>
    <mergeCell ref="C34:J34"/>
    <mergeCell ref="C35:J35"/>
    <mergeCell ref="E36:F36"/>
    <mergeCell ref="G36:H36"/>
    <mergeCell ref="I36:J36"/>
    <mergeCell ref="D42:E42"/>
    <mergeCell ref="D44:E44"/>
    <mergeCell ref="F44:G44"/>
    <mergeCell ref="D45:E45"/>
    <mergeCell ref="F45:G45"/>
    <mergeCell ref="A39:J39"/>
    <mergeCell ref="D40:E40"/>
    <mergeCell ref="F40:G40"/>
    <mergeCell ref="D41:E41"/>
    <mergeCell ref="F41:G41"/>
    <mergeCell ref="F42:G42"/>
    <mergeCell ref="F43:G43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25" right="0.25" top="0.75"/>
  <pageSetup fitToWidth="0" paperSize="5" cellComments="atEnd" orientation="portrait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1.38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12"/>
      <c r="L3" s="13"/>
      <c r="M3" s="13"/>
      <c r="N3" s="13"/>
      <c r="O3" s="13"/>
      <c r="P3" s="13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12"/>
      <c r="L4" s="13"/>
      <c r="M4" s="13"/>
      <c r="N4" s="13"/>
      <c r="O4" s="13"/>
      <c r="P4" s="13"/>
    </row>
    <row r="5">
      <c r="A5" s="175" t="s">
        <v>7</v>
      </c>
      <c r="B5" s="176" t="s">
        <v>174</v>
      </c>
      <c r="C5" s="15"/>
      <c r="D5" s="15"/>
      <c r="E5" s="5"/>
      <c r="F5" s="177" t="s">
        <v>9</v>
      </c>
      <c r="G5" s="178"/>
      <c r="H5" s="179"/>
      <c r="I5" s="179"/>
      <c r="J5" s="179"/>
      <c r="K5" s="12"/>
      <c r="L5" s="13"/>
      <c r="M5" s="13"/>
      <c r="N5" s="13"/>
      <c r="O5" s="13"/>
      <c r="P5" s="13"/>
    </row>
    <row r="6">
      <c r="A6" s="172" t="s">
        <v>10</v>
      </c>
      <c r="B6" s="176" t="s">
        <v>256</v>
      </c>
      <c r="C6" s="15"/>
      <c r="D6" s="15"/>
      <c r="E6" s="5"/>
      <c r="F6" s="180" t="s">
        <v>12</v>
      </c>
      <c r="G6" s="15"/>
      <c r="H6" s="15"/>
      <c r="I6" s="15"/>
      <c r="J6" s="5"/>
      <c r="K6" s="12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12"/>
      <c r="L7" s="13"/>
      <c r="M7" s="13"/>
      <c r="N7" s="13"/>
      <c r="O7" s="13"/>
      <c r="P7" s="13"/>
    </row>
    <row r="8">
      <c r="A8" s="148">
        <v>1.0</v>
      </c>
      <c r="B8" s="199" t="s">
        <v>26</v>
      </c>
      <c r="C8" s="147" t="s">
        <v>78</v>
      </c>
      <c r="D8" s="15"/>
      <c r="E8" s="15"/>
      <c r="F8" s="15"/>
      <c r="G8" s="15"/>
      <c r="H8" s="15"/>
      <c r="I8" s="15"/>
      <c r="J8" s="5"/>
      <c r="K8" s="12"/>
      <c r="L8" s="13"/>
      <c r="M8" s="13"/>
      <c r="N8" s="13"/>
      <c r="O8" s="13"/>
      <c r="P8" s="13"/>
    </row>
    <row r="9">
      <c r="A9" s="149">
        <v>2.0</v>
      </c>
      <c r="B9" s="200" t="s">
        <v>20</v>
      </c>
      <c r="C9" s="151">
        <v>0.35</v>
      </c>
      <c r="D9" s="5"/>
      <c r="E9" s="151">
        <v>0.5694444444444444</v>
      </c>
      <c r="F9" s="5"/>
      <c r="G9" s="151">
        <v>0.6145833333333334</v>
      </c>
      <c r="H9" s="5"/>
      <c r="I9" s="151">
        <v>0.75</v>
      </c>
      <c r="J9" s="5"/>
      <c r="K9" s="12"/>
      <c r="L9" s="29">
        <v>0.0</v>
      </c>
      <c r="M9" s="13"/>
      <c r="N9" s="13"/>
      <c r="O9" s="13"/>
      <c r="P9" s="13"/>
    </row>
    <row r="10">
      <c r="A10" s="149">
        <v>3.0</v>
      </c>
      <c r="B10" s="201" t="s">
        <v>28</v>
      </c>
      <c r="C10" s="150">
        <v>0.32916666666666666</v>
      </c>
      <c r="D10" s="5"/>
      <c r="E10" s="147" t="s">
        <v>103</v>
      </c>
      <c r="F10" s="5"/>
      <c r="G10" s="147" t="s">
        <v>103</v>
      </c>
      <c r="H10" s="5"/>
      <c r="I10" s="150">
        <v>0.5027777777777778</v>
      </c>
      <c r="J10" s="5"/>
      <c r="K10" s="12"/>
      <c r="L10" s="29">
        <v>10.0</v>
      </c>
      <c r="M10" s="13"/>
      <c r="N10" s="13"/>
      <c r="O10" s="13"/>
      <c r="P10" s="13"/>
    </row>
    <row r="11">
      <c r="A11" s="149">
        <v>4.0</v>
      </c>
      <c r="B11" s="199" t="s">
        <v>23</v>
      </c>
      <c r="C11" s="147" t="s">
        <v>103</v>
      </c>
      <c r="D11" s="5"/>
      <c r="E11" s="147" t="s">
        <v>103</v>
      </c>
      <c r="F11" s="5"/>
      <c r="G11" s="147" t="s">
        <v>103</v>
      </c>
      <c r="H11" s="5"/>
      <c r="I11" s="147" t="s">
        <v>103</v>
      </c>
      <c r="J11" s="5"/>
      <c r="K11" s="12"/>
      <c r="L11" s="13"/>
      <c r="M11" s="13"/>
      <c r="N11" s="13"/>
      <c r="O11" s="13"/>
      <c r="P11" s="13"/>
    </row>
    <row r="12">
      <c r="A12" s="149">
        <v>5.0</v>
      </c>
      <c r="B12" s="201" t="s">
        <v>257</v>
      </c>
      <c r="C12" s="150">
        <v>0.35</v>
      </c>
      <c r="D12" s="5"/>
      <c r="E12" s="150">
        <v>0.5472222222222223</v>
      </c>
      <c r="F12" s="5"/>
      <c r="G12" s="150">
        <v>0.59375</v>
      </c>
      <c r="H12" s="5"/>
      <c r="I12" s="150">
        <v>0.7472222222222222</v>
      </c>
      <c r="J12" s="5"/>
      <c r="K12" s="12"/>
      <c r="L12" s="29">
        <v>0.0</v>
      </c>
      <c r="M12" s="13"/>
      <c r="N12" s="13"/>
      <c r="O12" s="13"/>
      <c r="P12" s="13"/>
    </row>
    <row r="13">
      <c r="A13" s="149">
        <v>6.0</v>
      </c>
      <c r="B13" s="201" t="s">
        <v>25</v>
      </c>
      <c r="C13" s="150">
        <v>0.3541666666666667</v>
      </c>
      <c r="D13" s="5"/>
      <c r="E13" s="150">
        <v>0.55625</v>
      </c>
      <c r="F13" s="5"/>
      <c r="G13" s="150">
        <v>0.6020833333333333</v>
      </c>
      <c r="H13" s="5"/>
      <c r="I13" s="150">
        <v>0.7451388888888889</v>
      </c>
      <c r="J13" s="5"/>
      <c r="K13" s="12"/>
      <c r="L13" s="29">
        <v>-8.0</v>
      </c>
      <c r="M13" s="13"/>
      <c r="N13" s="13"/>
      <c r="O13" s="13"/>
      <c r="P13" s="13"/>
    </row>
    <row r="14">
      <c r="A14" s="149">
        <v>7.0</v>
      </c>
      <c r="B14" s="201" t="s">
        <v>18</v>
      </c>
      <c r="C14" s="150">
        <v>0.35208333333333336</v>
      </c>
      <c r="D14" s="5"/>
      <c r="E14" s="150">
        <v>0.55625</v>
      </c>
      <c r="F14" s="5"/>
      <c r="G14" s="150">
        <v>0.6020833333333333</v>
      </c>
      <c r="H14" s="5"/>
      <c r="I14" s="150">
        <v>0.7479166666666667</v>
      </c>
      <c r="J14" s="5"/>
      <c r="K14" s="12"/>
      <c r="L14" s="29">
        <v>0.0</v>
      </c>
      <c r="M14" s="13"/>
      <c r="N14" s="13"/>
      <c r="O14" s="13"/>
      <c r="P14" s="13"/>
    </row>
    <row r="15">
      <c r="A15" s="149">
        <v>8.0</v>
      </c>
      <c r="B15" s="199" t="s">
        <v>26</v>
      </c>
      <c r="C15" s="150">
        <v>0.35138888888888886</v>
      </c>
      <c r="D15" s="5"/>
      <c r="E15" s="151">
        <v>0.55</v>
      </c>
      <c r="F15" s="5"/>
      <c r="G15" s="151">
        <v>0.5951388888888889</v>
      </c>
      <c r="H15" s="5"/>
      <c r="I15" s="151">
        <v>0.7451388888888889</v>
      </c>
      <c r="J15" s="5"/>
      <c r="K15" s="12"/>
      <c r="L15" s="29">
        <v>0.0</v>
      </c>
      <c r="M15" s="13"/>
      <c r="N15" s="13"/>
      <c r="O15" s="13"/>
      <c r="P15" s="13"/>
    </row>
    <row r="16">
      <c r="A16" s="149">
        <v>9.0</v>
      </c>
      <c r="B16" s="200" t="s">
        <v>20</v>
      </c>
      <c r="C16" s="151">
        <v>0.3506944444444444</v>
      </c>
      <c r="D16" s="5"/>
      <c r="E16" s="151">
        <v>0.5493055555555556</v>
      </c>
      <c r="F16" s="5"/>
      <c r="G16" s="151">
        <v>0.59375</v>
      </c>
      <c r="H16" s="5"/>
      <c r="I16" s="151">
        <v>0.7465277777777778</v>
      </c>
      <c r="J16" s="5"/>
      <c r="K16" s="12"/>
      <c r="L16" s="29">
        <v>0.0</v>
      </c>
      <c r="M16" s="13"/>
      <c r="N16" s="13"/>
      <c r="O16" s="13"/>
      <c r="P16" s="13"/>
    </row>
    <row r="17">
      <c r="A17" s="149">
        <v>10.0</v>
      </c>
      <c r="B17" s="201" t="s">
        <v>21</v>
      </c>
      <c r="C17" s="150">
        <v>0.33125</v>
      </c>
      <c r="D17" s="5"/>
      <c r="E17" s="147" t="s">
        <v>103</v>
      </c>
      <c r="F17" s="5"/>
      <c r="G17" s="147" t="s">
        <v>103</v>
      </c>
      <c r="H17" s="5"/>
      <c r="I17" s="150">
        <v>0.4965277777777778</v>
      </c>
      <c r="J17" s="5"/>
      <c r="K17" s="12"/>
      <c r="L17" s="39">
        <v>0.0</v>
      </c>
      <c r="M17" s="93" t="s">
        <v>260</v>
      </c>
      <c r="N17" s="183">
        <v>-8.0</v>
      </c>
      <c r="O17" s="93">
        <v>10.0</v>
      </c>
      <c r="P17" s="13"/>
    </row>
    <row r="18">
      <c r="A18" s="149">
        <v>11.0</v>
      </c>
      <c r="B18" s="199" t="s">
        <v>23</v>
      </c>
      <c r="C18" s="147" t="s">
        <v>103</v>
      </c>
      <c r="D18" s="5"/>
      <c r="E18" s="147" t="s">
        <v>103</v>
      </c>
      <c r="F18" s="5"/>
      <c r="G18" s="147" t="s">
        <v>103</v>
      </c>
      <c r="H18" s="5"/>
      <c r="I18" s="147" t="s">
        <v>103</v>
      </c>
      <c r="J18" s="5"/>
      <c r="K18" s="12"/>
      <c r="L18" s="13"/>
      <c r="P18" s="13"/>
    </row>
    <row r="19">
      <c r="A19" s="149">
        <v>12.0</v>
      </c>
      <c r="B19" s="200" t="s">
        <v>24</v>
      </c>
      <c r="C19" s="150">
        <v>0.34930555555555554</v>
      </c>
      <c r="D19" s="5"/>
      <c r="E19" s="150">
        <v>0.5527777777777778</v>
      </c>
      <c r="F19" s="5"/>
      <c r="G19" s="150">
        <v>0.5993055555555555</v>
      </c>
      <c r="H19" s="5"/>
      <c r="I19" s="150">
        <v>0.74375</v>
      </c>
      <c r="J19" s="5"/>
      <c r="K19" s="12"/>
      <c r="L19" s="39">
        <v>0.0</v>
      </c>
      <c r="M19" s="13"/>
      <c r="N19" s="13"/>
      <c r="O19" s="13"/>
      <c r="P19" s="13"/>
    </row>
    <row r="20">
      <c r="A20" s="149">
        <v>13.0</v>
      </c>
      <c r="B20" s="200" t="s">
        <v>58</v>
      </c>
      <c r="C20" s="150">
        <v>0.35</v>
      </c>
      <c r="D20" s="5"/>
      <c r="E20" s="150">
        <v>0.5569444444444445</v>
      </c>
      <c r="F20" s="5"/>
      <c r="G20" s="150">
        <v>0.6020833333333333</v>
      </c>
      <c r="H20" s="5"/>
      <c r="I20" s="150">
        <v>0.7472222222222222</v>
      </c>
      <c r="J20" s="5"/>
      <c r="K20" s="12"/>
      <c r="L20" s="29">
        <v>0.0</v>
      </c>
      <c r="M20" s="13"/>
      <c r="N20" s="13"/>
      <c r="O20" s="13"/>
      <c r="P20" s="13"/>
    </row>
    <row r="21">
      <c r="A21" s="149">
        <v>14.0</v>
      </c>
      <c r="B21" s="201" t="s">
        <v>18</v>
      </c>
      <c r="C21" s="150">
        <v>0.3506944444444444</v>
      </c>
      <c r="D21" s="5"/>
      <c r="E21" s="150">
        <v>0.5506944444444445</v>
      </c>
      <c r="F21" s="5"/>
      <c r="G21" s="150">
        <v>0.5972222222222222</v>
      </c>
      <c r="H21" s="5"/>
      <c r="I21" s="150">
        <v>0.74375</v>
      </c>
      <c r="J21" s="5"/>
      <c r="K21" s="12"/>
      <c r="L21" s="29">
        <v>0.0</v>
      </c>
      <c r="M21" s="13"/>
      <c r="N21" s="13"/>
      <c r="O21" s="13"/>
      <c r="P21" s="13"/>
    </row>
    <row r="22">
      <c r="A22" s="149">
        <v>15.0</v>
      </c>
      <c r="B22" s="199" t="s">
        <v>259</v>
      </c>
      <c r="C22" s="150">
        <v>0.34930555555555554</v>
      </c>
      <c r="D22" s="5"/>
      <c r="E22" s="151">
        <v>0.5493055555555556</v>
      </c>
      <c r="F22" s="5"/>
      <c r="G22" s="151">
        <v>0.5965277777777778</v>
      </c>
      <c r="H22" s="5"/>
      <c r="I22" s="150">
        <v>0.75625</v>
      </c>
      <c r="J22" s="5"/>
      <c r="K22" s="12"/>
      <c r="L22" s="29">
        <v>13.0</v>
      </c>
      <c r="M22" s="93" t="s">
        <v>260</v>
      </c>
      <c r="N22" s="183">
        <v>-8.0</v>
      </c>
      <c r="O22" s="93">
        <v>23.0</v>
      </c>
      <c r="P22" s="13"/>
    </row>
    <row r="23">
      <c r="A23" s="149">
        <v>16.0</v>
      </c>
      <c r="B23" s="200" t="s">
        <v>20</v>
      </c>
      <c r="C23" s="151">
        <v>0.3506944444444444</v>
      </c>
      <c r="D23" s="5"/>
      <c r="E23" s="151">
        <v>0.55625</v>
      </c>
      <c r="F23" s="5"/>
      <c r="G23" s="151">
        <v>0.6013888888888889</v>
      </c>
      <c r="H23" s="5"/>
      <c r="I23" s="151">
        <v>0.7472222222222222</v>
      </c>
      <c r="J23" s="5"/>
      <c r="K23" s="12"/>
      <c r="L23" s="29">
        <v>0.0</v>
      </c>
      <c r="M23" s="13"/>
      <c r="N23" s="13"/>
      <c r="O23" s="13"/>
      <c r="P23" s="13"/>
    </row>
    <row r="24">
      <c r="A24" s="149">
        <v>17.0</v>
      </c>
      <c r="B24" s="201" t="s">
        <v>21</v>
      </c>
      <c r="C24" s="147" t="s">
        <v>103</v>
      </c>
      <c r="D24" s="5"/>
      <c r="E24" s="147" t="s">
        <v>103</v>
      </c>
      <c r="F24" s="5"/>
      <c r="G24" s="147" t="s">
        <v>103</v>
      </c>
      <c r="H24" s="5"/>
      <c r="I24" s="147" t="s">
        <v>103</v>
      </c>
      <c r="J24" s="5"/>
      <c r="K24" s="12"/>
      <c r="L24" s="13"/>
      <c r="M24" s="13"/>
      <c r="N24" s="13"/>
      <c r="O24" s="13"/>
      <c r="P24" s="13"/>
    </row>
    <row r="25">
      <c r="A25" s="149">
        <v>18.0</v>
      </c>
      <c r="B25" s="199" t="s">
        <v>30</v>
      </c>
      <c r="C25" s="147" t="s">
        <v>103</v>
      </c>
      <c r="D25" s="5"/>
      <c r="E25" s="147" t="s">
        <v>103</v>
      </c>
      <c r="F25" s="5"/>
      <c r="G25" s="147" t="s">
        <v>103</v>
      </c>
      <c r="H25" s="5"/>
      <c r="I25" s="147" t="s">
        <v>103</v>
      </c>
      <c r="J25" s="5"/>
      <c r="K25" s="12"/>
      <c r="L25" s="13"/>
      <c r="M25" s="13"/>
      <c r="N25" s="13"/>
      <c r="O25" s="13"/>
      <c r="P25" s="13"/>
    </row>
    <row r="26">
      <c r="A26" s="149">
        <v>19.0</v>
      </c>
      <c r="B26" s="200" t="s">
        <v>24</v>
      </c>
      <c r="C26" s="150">
        <v>0.34930555555555554</v>
      </c>
      <c r="D26" s="5"/>
      <c r="E26" s="150">
        <v>0.55</v>
      </c>
      <c r="F26" s="5"/>
      <c r="G26" s="150">
        <v>0.5958333333333333</v>
      </c>
      <c r="H26" s="5"/>
      <c r="I26" s="150">
        <v>0.7458333333333333</v>
      </c>
      <c r="J26" s="5"/>
      <c r="K26" s="40"/>
      <c r="L26" s="29">
        <v>0.0</v>
      </c>
      <c r="M26" s="219" t="s">
        <v>183</v>
      </c>
      <c r="N26" s="220">
        <v>-8.0</v>
      </c>
      <c r="O26" s="219">
        <v>23.0</v>
      </c>
      <c r="P26" s="29" t="s">
        <v>154</v>
      </c>
    </row>
    <row r="27">
      <c r="A27" s="149">
        <v>20.0</v>
      </c>
      <c r="B27" s="200" t="s">
        <v>25</v>
      </c>
      <c r="C27" s="150">
        <v>0.35</v>
      </c>
      <c r="D27" s="5"/>
      <c r="E27" s="150">
        <v>0.5638888888888889</v>
      </c>
      <c r="F27" s="5"/>
      <c r="G27" s="150">
        <v>0.6083333333333333</v>
      </c>
      <c r="H27" s="5"/>
      <c r="I27" s="150">
        <v>0.7479166666666667</v>
      </c>
      <c r="J27" s="5"/>
      <c r="K27" s="12"/>
      <c r="L27" s="29">
        <v>0.0</v>
      </c>
      <c r="M27" s="13"/>
      <c r="N27" s="13"/>
      <c r="O27" s="13"/>
      <c r="P27" s="13"/>
    </row>
    <row r="28">
      <c r="A28" s="149">
        <v>21.0</v>
      </c>
      <c r="B28" s="199" t="s">
        <v>18</v>
      </c>
      <c r="C28" s="150">
        <v>0.35138888888888886</v>
      </c>
      <c r="D28" s="5"/>
      <c r="E28" s="150">
        <v>0.55625</v>
      </c>
      <c r="F28" s="5"/>
      <c r="G28" s="150">
        <v>0.6020833333333333</v>
      </c>
      <c r="H28" s="5"/>
      <c r="I28" s="150">
        <v>0.7444444444444445</v>
      </c>
      <c r="J28" s="5"/>
      <c r="K28" s="12"/>
      <c r="L28" s="29">
        <v>0.0</v>
      </c>
      <c r="M28" s="13"/>
      <c r="N28" s="13"/>
      <c r="O28" s="13"/>
      <c r="P28" s="13"/>
    </row>
    <row r="29">
      <c r="A29" s="149">
        <v>22.0</v>
      </c>
      <c r="B29" s="200" t="s">
        <v>26</v>
      </c>
      <c r="C29" s="150">
        <v>0.3506944444444444</v>
      </c>
      <c r="D29" s="5"/>
      <c r="E29" s="151">
        <v>0.5555555555555556</v>
      </c>
      <c r="F29" s="5"/>
      <c r="G29" s="151">
        <v>0.6020833333333333</v>
      </c>
      <c r="H29" s="5"/>
      <c r="I29" s="150">
        <v>0.7479166666666667</v>
      </c>
      <c r="J29" s="5"/>
      <c r="K29" s="12"/>
      <c r="L29" s="29">
        <v>0.0</v>
      </c>
      <c r="M29" s="13"/>
      <c r="N29" s="13"/>
      <c r="O29" s="13"/>
      <c r="P29" s="13"/>
    </row>
    <row r="30">
      <c r="A30" s="149">
        <v>23.0</v>
      </c>
      <c r="B30" s="200" t="s">
        <v>20</v>
      </c>
      <c r="C30" s="151">
        <v>0.35</v>
      </c>
      <c r="D30" s="5"/>
      <c r="E30" s="151">
        <v>0.5604166666666667</v>
      </c>
      <c r="F30" s="5"/>
      <c r="G30" s="151">
        <v>0.6048611111111111</v>
      </c>
      <c r="H30" s="5"/>
      <c r="I30" s="151">
        <v>0.7423611111111111</v>
      </c>
      <c r="J30" s="5"/>
      <c r="K30" s="12"/>
      <c r="L30" s="29">
        <v>0.0</v>
      </c>
      <c r="M30" s="13"/>
      <c r="N30" s="13"/>
      <c r="O30" s="13"/>
      <c r="P30" s="13"/>
    </row>
    <row r="31">
      <c r="A31" s="149">
        <v>24.0</v>
      </c>
      <c r="B31" s="199" t="s">
        <v>21</v>
      </c>
      <c r="C31" s="147" t="s">
        <v>103</v>
      </c>
      <c r="D31" s="5"/>
      <c r="E31" s="147" t="s">
        <v>103</v>
      </c>
      <c r="F31" s="5"/>
      <c r="G31" s="147" t="s">
        <v>103</v>
      </c>
      <c r="H31" s="5"/>
      <c r="I31" s="147" t="s">
        <v>103</v>
      </c>
      <c r="J31" s="5"/>
      <c r="K31" s="12"/>
      <c r="L31" s="13"/>
      <c r="M31" s="13"/>
      <c r="N31" s="13"/>
      <c r="O31" s="13"/>
      <c r="P31" s="13"/>
    </row>
    <row r="32">
      <c r="A32" s="149">
        <v>25.0</v>
      </c>
      <c r="B32" s="200" t="s">
        <v>30</v>
      </c>
      <c r="C32" s="147" t="s">
        <v>103</v>
      </c>
      <c r="D32" s="5"/>
      <c r="E32" s="147" t="s">
        <v>103</v>
      </c>
      <c r="F32" s="5"/>
      <c r="G32" s="147" t="s">
        <v>103</v>
      </c>
      <c r="H32" s="5"/>
      <c r="I32" s="147" t="s">
        <v>103</v>
      </c>
      <c r="J32" s="5"/>
      <c r="K32" s="12"/>
      <c r="L32" s="13"/>
      <c r="M32" s="13"/>
      <c r="N32" s="13"/>
      <c r="O32" s="13"/>
      <c r="P32" s="13"/>
    </row>
    <row r="33">
      <c r="A33" s="149">
        <v>26.0</v>
      </c>
      <c r="B33" s="200" t="s">
        <v>24</v>
      </c>
      <c r="C33" s="150">
        <v>0.35208333333333336</v>
      </c>
      <c r="D33" s="5"/>
      <c r="E33" s="150">
        <v>0.5541666666666667</v>
      </c>
      <c r="F33" s="5"/>
      <c r="G33" s="150">
        <v>0.6006944444444444</v>
      </c>
      <c r="H33" s="5"/>
      <c r="I33" s="150">
        <v>0.7486111111111111</v>
      </c>
      <c r="J33" s="5"/>
      <c r="K33" s="12"/>
      <c r="L33" s="29">
        <v>0.0</v>
      </c>
      <c r="M33" s="13"/>
      <c r="N33" s="13"/>
      <c r="O33" s="13"/>
      <c r="P33" s="13"/>
    </row>
    <row r="34">
      <c r="A34" s="149">
        <v>27.0</v>
      </c>
      <c r="B34" s="203" t="s">
        <v>25</v>
      </c>
      <c r="C34" s="150">
        <v>0.3527777777777778</v>
      </c>
      <c r="D34" s="5"/>
      <c r="E34" s="150">
        <v>0.5590277777777778</v>
      </c>
      <c r="F34" s="5"/>
      <c r="G34" s="150">
        <v>0.60625</v>
      </c>
      <c r="H34" s="5"/>
      <c r="I34" s="150">
        <v>0.7444444444444445</v>
      </c>
      <c r="J34" s="5"/>
      <c r="K34" s="12"/>
      <c r="L34" s="29">
        <v>-9.0</v>
      </c>
      <c r="M34" s="219" t="s">
        <v>183</v>
      </c>
      <c r="N34" s="220">
        <v>-17.0</v>
      </c>
      <c r="O34" s="219">
        <v>23.0</v>
      </c>
      <c r="P34" s="45"/>
      <c r="Q34" s="44"/>
      <c r="R34" s="44"/>
      <c r="S34" s="44"/>
      <c r="T34" s="45"/>
      <c r="U34" s="44"/>
      <c r="V34" s="13"/>
    </row>
    <row r="35">
      <c r="A35" s="149">
        <v>28.0</v>
      </c>
      <c r="B35" s="200" t="s">
        <v>18</v>
      </c>
      <c r="C35" s="150">
        <v>0.3527777777777778</v>
      </c>
      <c r="D35" s="5"/>
      <c r="E35" s="150">
        <v>0.5659722222222222</v>
      </c>
      <c r="F35" s="5"/>
      <c r="G35" s="150">
        <v>0.6125</v>
      </c>
      <c r="H35" s="5"/>
      <c r="I35" s="150">
        <v>0.7472222222222222</v>
      </c>
      <c r="J35" s="5"/>
      <c r="K35" s="13"/>
      <c r="L35" s="29">
        <v>0.0</v>
      </c>
      <c r="M35" s="46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49">
        <v>29.0</v>
      </c>
      <c r="B36" s="200" t="s">
        <v>26</v>
      </c>
      <c r="C36" s="150">
        <v>0.3486111111111111</v>
      </c>
      <c r="D36" s="5"/>
      <c r="E36" s="150">
        <v>0.5465277777777777</v>
      </c>
      <c r="F36" s="5"/>
      <c r="G36" s="150">
        <v>0.5930555555555556</v>
      </c>
      <c r="H36" s="5"/>
      <c r="I36" s="150">
        <v>0.7451388888888889</v>
      </c>
      <c r="J36" s="5"/>
      <c r="K36" s="12"/>
      <c r="L36" s="29">
        <v>0.0</v>
      </c>
      <c r="M36" s="13"/>
      <c r="N36" s="13"/>
      <c r="O36" s="13"/>
      <c r="P36" s="13"/>
    </row>
    <row r="37">
      <c r="A37" s="163">
        <v>30.0</v>
      </c>
      <c r="B37" s="200" t="s">
        <v>20</v>
      </c>
      <c r="C37" s="151">
        <v>0.3506944444444444</v>
      </c>
      <c r="D37" s="5"/>
      <c r="E37" s="151">
        <v>0.5555555555555556</v>
      </c>
      <c r="F37" s="5"/>
      <c r="G37" s="151">
        <v>0.6006944444444444</v>
      </c>
      <c r="H37" s="5"/>
      <c r="I37" s="151">
        <v>0.7451388888888889</v>
      </c>
      <c r="J37" s="5"/>
      <c r="K37" s="12"/>
      <c r="L37" s="29">
        <v>0.0</v>
      </c>
      <c r="M37" s="219" t="s">
        <v>183</v>
      </c>
      <c r="N37" s="220">
        <v>-17.0</v>
      </c>
      <c r="O37" s="219">
        <v>23.0</v>
      </c>
      <c r="P37" s="13"/>
    </row>
    <row r="38">
      <c r="A38" s="163">
        <v>31.0</v>
      </c>
      <c r="B38" s="200" t="s">
        <v>21</v>
      </c>
      <c r="C38" s="181" t="s">
        <v>103</v>
      </c>
      <c r="D38" s="5"/>
      <c r="E38" s="181" t="s">
        <v>103</v>
      </c>
      <c r="F38" s="5"/>
      <c r="G38" s="181" t="s">
        <v>103</v>
      </c>
      <c r="H38" s="5"/>
      <c r="I38" s="181" t="s">
        <v>103</v>
      </c>
      <c r="J38" s="5"/>
      <c r="K38" s="12"/>
      <c r="L38" s="13"/>
      <c r="M38" s="31"/>
      <c r="N38" s="31"/>
      <c r="O38" s="39"/>
      <c r="P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12"/>
      <c r="L39" s="13"/>
      <c r="M39" s="13"/>
      <c r="N39" s="13"/>
      <c r="O39" s="13"/>
      <c r="P39" s="13"/>
    </row>
    <row r="40">
      <c r="A40" s="107" t="s">
        <v>264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07" t="s">
        <v>265</v>
      </c>
      <c r="B41" s="15"/>
      <c r="C41" s="15"/>
      <c r="D41" s="15"/>
      <c r="E41" s="15"/>
      <c r="F41" s="15"/>
      <c r="G41" s="15"/>
      <c r="H41" s="15"/>
      <c r="I41" s="15"/>
      <c r="J41" s="5"/>
      <c r="K41" s="6"/>
    </row>
    <row r="42">
      <c r="A42" s="132" t="s">
        <v>266</v>
      </c>
      <c r="B42" s="3"/>
      <c r="C42" s="3"/>
      <c r="D42" s="3"/>
      <c r="E42" s="3"/>
      <c r="F42" s="3"/>
      <c r="G42" s="3"/>
      <c r="H42" s="3"/>
      <c r="I42" s="3"/>
      <c r="J42" s="2"/>
      <c r="K42" s="6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44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F7:G7"/>
    <mergeCell ref="I7:J7"/>
    <mergeCell ref="C8:J8"/>
    <mergeCell ref="G10:H10"/>
    <mergeCell ref="I10:J10"/>
    <mergeCell ref="C7:D7"/>
    <mergeCell ref="C9:D9"/>
    <mergeCell ref="E9:F9"/>
    <mergeCell ref="G9:H9"/>
    <mergeCell ref="I9:J9"/>
    <mergeCell ref="C10:D10"/>
    <mergeCell ref="E10:F10"/>
    <mergeCell ref="C11:D11"/>
    <mergeCell ref="E11:F11"/>
    <mergeCell ref="G11:H11"/>
    <mergeCell ref="I11:J11"/>
    <mergeCell ref="E12:F12"/>
    <mergeCell ref="G12:H12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5:E45"/>
    <mergeCell ref="F45:G45"/>
    <mergeCell ref="A39:J39"/>
    <mergeCell ref="A40:J40"/>
    <mergeCell ref="A41:J41"/>
    <mergeCell ref="A42:J42"/>
    <mergeCell ref="F43:G43"/>
    <mergeCell ref="D44:E44"/>
    <mergeCell ref="F44:G44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10.0"/>
    <col customWidth="1" min="15" max="15" width="11.88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250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52</v>
      </c>
      <c r="C5" s="15"/>
      <c r="D5" s="15"/>
      <c r="E5" s="5"/>
      <c r="F5" s="177" t="s">
        <v>66</v>
      </c>
      <c r="G5" s="178"/>
      <c r="H5" s="179"/>
      <c r="I5" s="179"/>
      <c r="J5" s="179"/>
      <c r="K5" s="6"/>
    </row>
    <row r="6">
      <c r="A6" s="172" t="s">
        <v>10</v>
      </c>
      <c r="B6" s="176" t="s">
        <v>256</v>
      </c>
      <c r="C6" s="15"/>
      <c r="D6" s="15"/>
      <c r="E6" s="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199" t="s">
        <v>26</v>
      </c>
      <c r="C8" s="147" t="s">
        <v>78</v>
      </c>
      <c r="D8" s="15"/>
      <c r="E8" s="15"/>
      <c r="F8" s="15"/>
      <c r="G8" s="15"/>
      <c r="H8" s="15"/>
      <c r="I8" s="15"/>
      <c r="J8" s="5"/>
      <c r="K8" s="6"/>
    </row>
    <row r="9">
      <c r="A9" s="149">
        <v>2.0</v>
      </c>
      <c r="B9" s="200" t="s">
        <v>20</v>
      </c>
      <c r="C9" s="225" t="s">
        <v>68</v>
      </c>
      <c r="D9" s="15"/>
      <c r="E9" s="15"/>
      <c r="F9" s="15"/>
      <c r="G9" s="15"/>
      <c r="H9" s="15"/>
      <c r="I9" s="15"/>
      <c r="J9" s="5"/>
      <c r="K9" s="6"/>
      <c r="L9" s="142" t="s">
        <v>267</v>
      </c>
    </row>
    <row r="10">
      <c r="A10" s="149">
        <v>3.0</v>
      </c>
      <c r="B10" s="201" t="s">
        <v>28</v>
      </c>
      <c r="C10" s="225" t="s">
        <v>68</v>
      </c>
      <c r="D10" s="15"/>
      <c r="E10" s="15"/>
      <c r="F10" s="15"/>
      <c r="G10" s="15"/>
      <c r="H10" s="15"/>
      <c r="I10" s="15"/>
      <c r="J10" s="5"/>
      <c r="K10" s="6"/>
      <c r="L10" s="142" t="s">
        <v>268</v>
      </c>
    </row>
    <row r="11">
      <c r="A11" s="149">
        <v>4.0</v>
      </c>
      <c r="B11" s="199" t="s">
        <v>23</v>
      </c>
      <c r="C11" s="147" t="s">
        <v>103</v>
      </c>
      <c r="D11" s="5"/>
      <c r="E11" s="147" t="s">
        <v>103</v>
      </c>
      <c r="F11" s="5"/>
      <c r="G11" s="147" t="s">
        <v>103</v>
      </c>
      <c r="H11" s="5"/>
      <c r="I11" s="147" t="s">
        <v>103</v>
      </c>
      <c r="J11" s="5"/>
      <c r="K11" s="6"/>
    </row>
    <row r="12">
      <c r="A12" s="149">
        <v>5.0</v>
      </c>
      <c r="B12" s="201" t="s">
        <v>257</v>
      </c>
      <c r="C12" s="150">
        <v>0.35138888888888886</v>
      </c>
      <c r="D12" s="5"/>
      <c r="E12" s="150">
        <v>0.5027777777777778</v>
      </c>
      <c r="F12" s="5"/>
      <c r="G12" s="150">
        <v>0.5458333333333333</v>
      </c>
      <c r="H12" s="5"/>
      <c r="I12" s="150">
        <v>0.7472222222222222</v>
      </c>
      <c r="J12" s="5"/>
      <c r="K12" s="6"/>
      <c r="L12" s="29">
        <v>0.0</v>
      </c>
      <c r="M12" s="29">
        <v>30.0</v>
      </c>
      <c r="N12" s="13"/>
      <c r="O12" s="13"/>
      <c r="P12" s="13"/>
    </row>
    <row r="13">
      <c r="A13" s="149">
        <v>6.0</v>
      </c>
      <c r="B13" s="201" t="s">
        <v>25</v>
      </c>
      <c r="C13" s="150">
        <v>0.3625</v>
      </c>
      <c r="D13" s="5"/>
      <c r="E13" s="150">
        <v>0.5020833333333333</v>
      </c>
      <c r="F13" s="5"/>
      <c r="G13" s="150">
        <v>0.5423611111111111</v>
      </c>
      <c r="H13" s="5"/>
      <c r="I13" s="150">
        <v>0.7465277777777778</v>
      </c>
      <c r="J13" s="5"/>
      <c r="K13" s="6"/>
      <c r="L13" s="29">
        <v>-15.0</v>
      </c>
      <c r="M13" s="29">
        <v>30.0</v>
      </c>
      <c r="N13" s="13"/>
      <c r="O13" s="13"/>
      <c r="P13" s="13"/>
    </row>
    <row r="14">
      <c r="A14" s="149">
        <v>7.0</v>
      </c>
      <c r="B14" s="201" t="s">
        <v>18</v>
      </c>
      <c r="C14" s="150">
        <v>0.3548611111111111</v>
      </c>
      <c r="D14" s="5"/>
      <c r="E14" s="150">
        <v>0.5020833333333333</v>
      </c>
      <c r="F14" s="5"/>
      <c r="G14" s="150">
        <v>0.5430555555555555</v>
      </c>
      <c r="H14" s="5"/>
      <c r="I14" s="150">
        <v>0.7479166666666667</v>
      </c>
      <c r="J14" s="5"/>
      <c r="K14" s="6"/>
      <c r="L14" s="29">
        <v>0.0</v>
      </c>
      <c r="M14" s="29">
        <v>30.0</v>
      </c>
      <c r="N14" s="13"/>
      <c r="O14" s="13"/>
      <c r="P14" s="13"/>
    </row>
    <row r="15">
      <c r="A15" s="149">
        <v>8.0</v>
      </c>
      <c r="B15" s="199" t="s">
        <v>26</v>
      </c>
      <c r="C15" s="150">
        <v>0.36666666666666664</v>
      </c>
      <c r="D15" s="5"/>
      <c r="E15" s="151">
        <v>0.5027777777777778</v>
      </c>
      <c r="F15" s="5"/>
      <c r="G15" s="151">
        <v>0.5444444444444444</v>
      </c>
      <c r="H15" s="5"/>
      <c r="I15" s="151">
        <v>0.7465277777777778</v>
      </c>
      <c r="J15" s="5"/>
      <c r="K15" s="6"/>
      <c r="L15" s="29">
        <v>-24.0</v>
      </c>
      <c r="M15" s="29">
        <v>30.0</v>
      </c>
      <c r="N15" s="13"/>
      <c r="O15" s="13"/>
      <c r="P15" s="13"/>
    </row>
    <row r="16">
      <c r="A16" s="149">
        <v>9.0</v>
      </c>
      <c r="B16" s="200" t="s">
        <v>20</v>
      </c>
      <c r="C16" s="151">
        <v>0.35347222222222224</v>
      </c>
      <c r="D16" s="5"/>
      <c r="E16" s="151">
        <v>0.5013888888888889</v>
      </c>
      <c r="F16" s="5"/>
      <c r="G16" s="151">
        <v>0.5444444444444444</v>
      </c>
      <c r="H16" s="5"/>
      <c r="I16" s="151">
        <v>0.7465277777777778</v>
      </c>
      <c r="J16" s="5"/>
      <c r="K16" s="6"/>
      <c r="L16" s="29">
        <v>0.0</v>
      </c>
      <c r="M16" s="29">
        <v>30.0</v>
      </c>
      <c r="N16" s="13"/>
      <c r="O16" s="13"/>
      <c r="P16" s="13"/>
    </row>
    <row r="17">
      <c r="A17" s="149">
        <v>10.0</v>
      </c>
      <c r="B17" s="201" t="s">
        <v>21</v>
      </c>
      <c r="C17" s="150">
        <v>0.3375</v>
      </c>
      <c r="D17" s="5"/>
      <c r="E17" s="147" t="s">
        <v>103</v>
      </c>
      <c r="F17" s="5"/>
      <c r="G17" s="147" t="s">
        <v>103</v>
      </c>
      <c r="H17" s="5"/>
      <c r="I17" s="150">
        <v>0.49583333333333335</v>
      </c>
      <c r="J17" s="5"/>
      <c r="K17" s="6"/>
      <c r="L17" s="29">
        <v>-12.0</v>
      </c>
      <c r="N17" s="13"/>
      <c r="O17" s="13"/>
      <c r="P17" s="13"/>
    </row>
    <row r="18">
      <c r="A18" s="149">
        <v>11.0</v>
      </c>
      <c r="B18" s="199" t="s">
        <v>23</v>
      </c>
      <c r="C18" s="147" t="s">
        <v>103</v>
      </c>
      <c r="D18" s="5"/>
      <c r="E18" s="147" t="s">
        <v>103</v>
      </c>
      <c r="F18" s="5"/>
      <c r="G18" s="147" t="s">
        <v>103</v>
      </c>
      <c r="H18" s="5"/>
      <c r="I18" s="147" t="s">
        <v>103</v>
      </c>
      <c r="J18" s="5"/>
      <c r="K18" s="6"/>
      <c r="L18" s="29"/>
      <c r="N18" s="13"/>
      <c r="O18" s="13"/>
      <c r="P18" s="13"/>
    </row>
    <row r="19">
      <c r="A19" s="149">
        <v>12.0</v>
      </c>
      <c r="B19" s="200" t="s">
        <v>24</v>
      </c>
      <c r="C19" s="150">
        <v>0.35</v>
      </c>
      <c r="D19" s="5"/>
      <c r="E19" s="150">
        <v>0.5083333333333333</v>
      </c>
      <c r="F19" s="5"/>
      <c r="G19" s="150">
        <v>0.5506944444444445</v>
      </c>
      <c r="H19" s="5"/>
      <c r="I19" s="150">
        <v>0.7444444444444445</v>
      </c>
      <c r="J19" s="5"/>
      <c r="K19" s="6"/>
      <c r="L19" s="29">
        <v>0.0</v>
      </c>
      <c r="M19" s="29">
        <v>30.0</v>
      </c>
      <c r="N19" s="13"/>
      <c r="O19" s="13"/>
      <c r="P19" s="13"/>
    </row>
    <row r="20">
      <c r="A20" s="149">
        <v>13.0</v>
      </c>
      <c r="B20" s="200" t="s">
        <v>58</v>
      </c>
      <c r="C20" s="150">
        <v>0.35138888888888886</v>
      </c>
      <c r="D20" s="5"/>
      <c r="E20" s="150">
        <v>0.5027777777777778</v>
      </c>
      <c r="F20" s="5"/>
      <c r="G20" s="150">
        <v>0.5493055555555556</v>
      </c>
      <c r="H20" s="5"/>
      <c r="I20" s="150">
        <v>0.7472222222222222</v>
      </c>
      <c r="J20" s="5"/>
      <c r="K20" s="6"/>
      <c r="L20" s="29">
        <v>-9.0</v>
      </c>
      <c r="M20" s="29">
        <v>30.0</v>
      </c>
      <c r="N20" s="13"/>
      <c r="O20" s="13"/>
      <c r="P20" s="13"/>
    </row>
    <row r="21">
      <c r="A21" s="149">
        <v>14.0</v>
      </c>
      <c r="B21" s="201" t="s">
        <v>18</v>
      </c>
      <c r="C21" s="150">
        <v>0.3506944444444444</v>
      </c>
      <c r="D21" s="5"/>
      <c r="E21" s="150">
        <v>0.5013888888888889</v>
      </c>
      <c r="F21" s="5"/>
      <c r="G21" s="150">
        <v>0.5444444444444444</v>
      </c>
      <c r="H21" s="5"/>
      <c r="I21" s="150">
        <v>0.74375</v>
      </c>
      <c r="J21" s="5"/>
      <c r="K21" s="6"/>
      <c r="L21" s="29">
        <v>0.0</v>
      </c>
      <c r="M21" s="29">
        <v>30.0</v>
      </c>
      <c r="N21" s="13"/>
      <c r="O21" s="35"/>
      <c r="P21" s="13"/>
    </row>
    <row r="22">
      <c r="A22" s="149">
        <v>15.0</v>
      </c>
      <c r="B22" s="199" t="s">
        <v>259</v>
      </c>
      <c r="C22" s="150">
        <v>0.35</v>
      </c>
      <c r="D22" s="5"/>
      <c r="E22" s="151">
        <v>0.49722222222222223</v>
      </c>
      <c r="F22" s="5"/>
      <c r="G22" s="151">
        <v>0.5423611111111111</v>
      </c>
      <c r="H22" s="5"/>
      <c r="I22" s="150">
        <v>0.75625</v>
      </c>
      <c r="J22" s="5"/>
      <c r="L22" s="29">
        <v>10.0</v>
      </c>
      <c r="M22" s="29">
        <v>30.0</v>
      </c>
      <c r="N22" s="93" t="s">
        <v>260</v>
      </c>
      <c r="O22" s="183" t="s">
        <v>269</v>
      </c>
      <c r="P22" s="94">
        <v>0.19444444444444445</v>
      </c>
    </row>
    <row r="23">
      <c r="A23" s="149">
        <v>16.0</v>
      </c>
      <c r="B23" s="200" t="s">
        <v>20</v>
      </c>
      <c r="C23" s="151">
        <v>0.35138888888888886</v>
      </c>
      <c r="D23" s="5"/>
      <c r="E23" s="151">
        <v>0.5048611111111111</v>
      </c>
      <c r="F23" s="5"/>
      <c r="G23" s="151">
        <v>0.5472222222222223</v>
      </c>
      <c r="H23" s="5"/>
      <c r="I23" s="151">
        <v>0.7472222222222222</v>
      </c>
      <c r="J23" s="5"/>
      <c r="K23" s="6"/>
      <c r="L23" s="29">
        <v>0.0</v>
      </c>
      <c r="M23" s="29">
        <v>30.0</v>
      </c>
      <c r="N23" s="13"/>
      <c r="O23" s="13"/>
      <c r="P23" s="13"/>
    </row>
    <row r="24">
      <c r="A24" s="149">
        <v>17.0</v>
      </c>
      <c r="B24" s="201" t="s">
        <v>21</v>
      </c>
      <c r="C24" s="150">
        <v>0.3486111111111111</v>
      </c>
      <c r="D24" s="5"/>
      <c r="E24" s="147" t="s">
        <v>103</v>
      </c>
      <c r="F24" s="5"/>
      <c r="G24" s="147" t="s">
        <v>103</v>
      </c>
      <c r="H24" s="5"/>
      <c r="I24" s="150">
        <v>0.4951388888888889</v>
      </c>
      <c r="J24" s="5"/>
      <c r="K24" s="6"/>
      <c r="L24" s="29"/>
      <c r="M24" s="29"/>
      <c r="N24" s="13"/>
      <c r="O24" s="13"/>
      <c r="P24" s="13"/>
    </row>
    <row r="25">
      <c r="A25" s="149">
        <v>18.0</v>
      </c>
      <c r="B25" s="199" t="s">
        <v>30</v>
      </c>
      <c r="C25" s="147" t="s">
        <v>103</v>
      </c>
      <c r="D25" s="5"/>
      <c r="E25" s="147" t="s">
        <v>103</v>
      </c>
      <c r="F25" s="5"/>
      <c r="G25" s="147" t="s">
        <v>103</v>
      </c>
      <c r="H25" s="5"/>
      <c r="I25" s="147" t="s">
        <v>103</v>
      </c>
      <c r="J25" s="5"/>
      <c r="K25" s="6"/>
      <c r="L25" s="29"/>
      <c r="M25" s="29"/>
    </row>
    <row r="26">
      <c r="A26" s="149">
        <v>19.0</v>
      </c>
      <c r="B26" s="200" t="s">
        <v>24</v>
      </c>
      <c r="C26" s="150">
        <v>0.35</v>
      </c>
      <c r="D26" s="5"/>
      <c r="E26" s="150">
        <v>0.5041666666666667</v>
      </c>
      <c r="F26" s="5"/>
      <c r="G26" s="150">
        <v>0.5486111111111112</v>
      </c>
      <c r="H26" s="5"/>
      <c r="I26" s="150">
        <v>0.7479166666666667</v>
      </c>
      <c r="J26" s="5"/>
      <c r="K26" s="127"/>
      <c r="L26" s="29">
        <v>0.0</v>
      </c>
      <c r="M26" s="29">
        <v>30.0</v>
      </c>
      <c r="N26" s="219" t="s">
        <v>190</v>
      </c>
      <c r="O26" s="219" t="s">
        <v>270</v>
      </c>
      <c r="P26" s="221">
        <v>0.2361111111111111</v>
      </c>
      <c r="S26" s="142" t="s">
        <v>154</v>
      </c>
    </row>
    <row r="27">
      <c r="A27" s="149">
        <v>20.0</v>
      </c>
      <c r="B27" s="200" t="s">
        <v>25</v>
      </c>
      <c r="C27" s="147" t="s">
        <v>62</v>
      </c>
      <c r="D27" s="15"/>
      <c r="E27" s="15"/>
      <c r="F27" s="15"/>
      <c r="G27" s="15"/>
      <c r="H27" s="15"/>
      <c r="I27" s="15"/>
      <c r="J27" s="5"/>
      <c r="K27" s="124"/>
      <c r="L27" s="13"/>
      <c r="M27" s="13"/>
      <c r="N27" s="13"/>
      <c r="O27" s="13"/>
      <c r="P27" s="13"/>
    </row>
    <row r="28">
      <c r="A28" s="149">
        <v>21.0</v>
      </c>
      <c r="B28" s="199" t="s">
        <v>18</v>
      </c>
      <c r="C28" s="147" t="s">
        <v>62</v>
      </c>
      <c r="D28" s="15"/>
      <c r="E28" s="15"/>
      <c r="F28" s="15"/>
      <c r="G28" s="15"/>
      <c r="H28" s="15"/>
      <c r="I28" s="15"/>
      <c r="J28" s="5"/>
      <c r="K28" s="124"/>
      <c r="L28" s="13"/>
      <c r="M28" s="31"/>
      <c r="N28" s="191"/>
      <c r="O28" s="97"/>
      <c r="P28" s="13"/>
    </row>
    <row r="29">
      <c r="A29" s="149">
        <v>22.0</v>
      </c>
      <c r="B29" s="200" t="s">
        <v>26</v>
      </c>
      <c r="C29" s="147" t="s">
        <v>62</v>
      </c>
      <c r="D29" s="15"/>
      <c r="E29" s="15"/>
      <c r="F29" s="15"/>
      <c r="G29" s="15"/>
      <c r="H29" s="15"/>
      <c r="I29" s="15"/>
      <c r="J29" s="5"/>
      <c r="K29" s="124"/>
      <c r="L29" s="13"/>
      <c r="M29" s="13"/>
      <c r="N29" s="13"/>
      <c r="O29" s="13"/>
      <c r="P29" s="13"/>
    </row>
    <row r="30">
      <c r="A30" s="149">
        <v>23.0</v>
      </c>
      <c r="B30" s="200" t="s">
        <v>20</v>
      </c>
      <c r="C30" s="147" t="s">
        <v>62</v>
      </c>
      <c r="D30" s="15"/>
      <c r="E30" s="15"/>
      <c r="F30" s="15"/>
      <c r="G30" s="15"/>
      <c r="H30" s="15"/>
      <c r="I30" s="15"/>
      <c r="J30" s="5"/>
      <c r="K30" s="124"/>
      <c r="L30" s="13"/>
      <c r="M30" s="13"/>
      <c r="N30" s="13"/>
      <c r="O30" s="13"/>
      <c r="P30" s="13"/>
    </row>
    <row r="31">
      <c r="A31" s="149">
        <v>24.0</v>
      </c>
      <c r="B31" s="199" t="s">
        <v>21</v>
      </c>
      <c r="C31" s="147" t="s">
        <v>161</v>
      </c>
      <c r="D31" s="15"/>
      <c r="E31" s="15"/>
      <c r="F31" s="15"/>
      <c r="G31" s="15"/>
      <c r="H31" s="15"/>
      <c r="I31" s="15"/>
      <c r="J31" s="5"/>
      <c r="K31" s="124"/>
      <c r="L31" s="13"/>
      <c r="M31" s="29" t="s">
        <v>268</v>
      </c>
      <c r="N31" s="13"/>
      <c r="O31" s="13"/>
      <c r="P31" s="13"/>
    </row>
    <row r="32">
      <c r="A32" s="149">
        <v>25.0</v>
      </c>
      <c r="B32" s="200" t="s">
        <v>30</v>
      </c>
      <c r="C32" s="147" t="s">
        <v>103</v>
      </c>
      <c r="D32" s="5"/>
      <c r="E32" s="147" t="s">
        <v>103</v>
      </c>
      <c r="F32" s="5"/>
      <c r="G32" s="147" t="s">
        <v>103</v>
      </c>
      <c r="H32" s="5"/>
      <c r="I32" s="147" t="s">
        <v>103</v>
      </c>
      <c r="J32" s="5"/>
      <c r="K32" s="6"/>
      <c r="L32" s="13"/>
      <c r="M32" s="13"/>
      <c r="N32" s="13"/>
      <c r="O32" s="13"/>
      <c r="P32" s="13"/>
    </row>
    <row r="33">
      <c r="A33" s="149">
        <v>26.0</v>
      </c>
      <c r="B33" s="200" t="s">
        <v>24</v>
      </c>
      <c r="C33" s="150">
        <v>0.35555555555555557</v>
      </c>
      <c r="D33" s="5"/>
      <c r="E33" s="150">
        <v>0.5020833333333333</v>
      </c>
      <c r="F33" s="5"/>
      <c r="G33" s="150">
        <v>0.5465277777777777</v>
      </c>
      <c r="H33" s="5"/>
      <c r="I33" s="150">
        <v>0.7479166666666667</v>
      </c>
      <c r="J33" s="5"/>
      <c r="K33" s="6"/>
      <c r="L33" s="29">
        <v>-9.0</v>
      </c>
      <c r="M33" s="29">
        <v>30.0</v>
      </c>
      <c r="N33" s="13"/>
      <c r="O33" s="13"/>
      <c r="P33" s="13"/>
    </row>
    <row r="34">
      <c r="A34" s="149">
        <v>27.0</v>
      </c>
      <c r="B34" s="203" t="s">
        <v>25</v>
      </c>
      <c r="C34" s="150">
        <v>0.3527777777777778</v>
      </c>
      <c r="D34" s="5"/>
      <c r="E34" s="150">
        <v>0.5027777777777778</v>
      </c>
      <c r="F34" s="5"/>
      <c r="G34" s="150">
        <v>0.5444444444444444</v>
      </c>
      <c r="H34" s="5"/>
      <c r="I34" s="150">
        <v>0.7444444444444445</v>
      </c>
      <c r="J34" s="5"/>
      <c r="K34" s="6"/>
      <c r="L34" s="29">
        <v>-6.0</v>
      </c>
      <c r="M34" s="29">
        <v>30.0</v>
      </c>
      <c r="N34" s="219" t="s">
        <v>190</v>
      </c>
      <c r="O34" s="226">
        <v>-0.052083333333333336</v>
      </c>
      <c r="P34" s="221">
        <v>0.2777777777777778</v>
      </c>
      <c r="Q34" s="44"/>
      <c r="R34" s="44"/>
      <c r="S34" s="45"/>
      <c r="T34" s="45"/>
      <c r="U34" s="44"/>
      <c r="V34" s="13"/>
    </row>
    <row r="35">
      <c r="A35" s="149">
        <v>28.0</v>
      </c>
      <c r="B35" s="200" t="s">
        <v>18</v>
      </c>
      <c r="C35" s="150">
        <v>0.3527777777777778</v>
      </c>
      <c r="D35" s="5"/>
      <c r="E35" s="150">
        <v>0.5104166666666666</v>
      </c>
      <c r="F35" s="5"/>
      <c r="G35" s="150">
        <v>0.5541666666666667</v>
      </c>
      <c r="H35" s="5"/>
      <c r="I35" s="150">
        <v>0.7465277777777778</v>
      </c>
      <c r="J35" s="5"/>
      <c r="L35" s="29">
        <v>-6.0</v>
      </c>
      <c r="M35" s="211">
        <v>30.0</v>
      </c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63">
        <v>29.0</v>
      </c>
      <c r="B36" s="200" t="s">
        <v>26</v>
      </c>
      <c r="C36" s="150">
        <v>0.3486111111111111</v>
      </c>
      <c r="D36" s="5"/>
      <c r="E36" s="150">
        <v>0.5034722222222222</v>
      </c>
      <c r="F36" s="5"/>
      <c r="G36" s="150">
        <v>0.54375</v>
      </c>
      <c r="H36" s="5"/>
      <c r="I36" s="150">
        <v>0.7451388888888889</v>
      </c>
      <c r="J36" s="5"/>
      <c r="K36" s="6"/>
      <c r="L36" s="29">
        <v>0.0</v>
      </c>
      <c r="M36" s="29">
        <v>30.0</v>
      </c>
      <c r="N36" s="13"/>
      <c r="O36" s="13"/>
      <c r="P36" s="13"/>
    </row>
    <row r="37">
      <c r="A37" s="163">
        <v>30.0</v>
      </c>
      <c r="B37" s="200" t="s">
        <v>20</v>
      </c>
      <c r="C37" s="151">
        <v>0.3506944444444444</v>
      </c>
      <c r="D37" s="5"/>
      <c r="E37" s="151">
        <v>0.5006944444444444</v>
      </c>
      <c r="F37" s="5"/>
      <c r="G37" s="151">
        <v>0.5451388888888888</v>
      </c>
      <c r="H37" s="5"/>
      <c r="I37" s="151">
        <v>0.7444444444444445</v>
      </c>
      <c r="J37" s="5"/>
      <c r="K37" s="6"/>
      <c r="L37" s="29">
        <v>-7.0</v>
      </c>
      <c r="M37" s="29">
        <v>30.0</v>
      </c>
      <c r="N37" s="219" t="s">
        <v>190</v>
      </c>
      <c r="O37" s="226">
        <v>-0.06111111111111111</v>
      </c>
      <c r="P37" s="221">
        <v>0.3402777777777778</v>
      </c>
    </row>
    <row r="38">
      <c r="A38" s="163">
        <v>31.0</v>
      </c>
      <c r="B38" s="200" t="s">
        <v>21</v>
      </c>
      <c r="C38" s="150">
        <v>0.33125</v>
      </c>
      <c r="D38" s="5"/>
      <c r="E38" s="147" t="s">
        <v>103</v>
      </c>
      <c r="F38" s="5"/>
      <c r="G38" s="147" t="s">
        <v>103</v>
      </c>
      <c r="H38" s="5"/>
      <c r="I38" s="150">
        <v>0.5034722222222222</v>
      </c>
      <c r="J38" s="5"/>
      <c r="K38" s="6"/>
      <c r="L38" s="13"/>
      <c r="M38" s="31"/>
      <c r="N38" s="191"/>
      <c r="O38" s="31"/>
      <c r="P38" s="13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/>
      <c r="P39" s="13"/>
    </row>
    <row r="40">
      <c r="A40" s="107" t="s">
        <v>271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29" t="s">
        <v>272</v>
      </c>
      <c r="O40" s="13"/>
      <c r="P40" s="13"/>
    </row>
    <row r="41">
      <c r="A41" s="107" t="s">
        <v>273</v>
      </c>
      <c r="B41" s="15"/>
      <c r="C41" s="15"/>
      <c r="D41" s="15"/>
      <c r="E41" s="15"/>
      <c r="F41" s="15"/>
      <c r="G41" s="15"/>
      <c r="H41" s="15"/>
      <c r="I41" s="15"/>
      <c r="J41" s="5"/>
      <c r="K41" s="6"/>
      <c r="L41" s="13"/>
      <c r="M41" s="13"/>
      <c r="N41" s="13"/>
      <c r="O41" s="13"/>
      <c r="P41" s="13"/>
    </row>
    <row r="42">
      <c r="A42" s="132" t="s">
        <v>274</v>
      </c>
      <c r="B42" s="3"/>
      <c r="C42" s="3"/>
      <c r="D42" s="3"/>
      <c r="E42" s="3"/>
      <c r="F42" s="3"/>
      <c r="G42" s="3"/>
      <c r="H42" s="3"/>
      <c r="I42" s="3"/>
      <c r="J42" s="2"/>
      <c r="K42" s="6"/>
      <c r="L42" s="13"/>
      <c r="M42" s="13"/>
      <c r="N42" s="13"/>
      <c r="O42" s="13"/>
      <c r="P42" s="13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  <c r="M43" s="41">
        <v>0.7277777777777777</v>
      </c>
    </row>
    <row r="44" ht="2.25" customHeight="1">
      <c r="A44" s="136"/>
      <c r="B44" s="137"/>
      <c r="C44" s="137"/>
      <c r="D44" s="137"/>
      <c r="F44" s="137"/>
      <c r="H44" s="137"/>
      <c r="I44" s="137"/>
      <c r="J44" s="138"/>
      <c r="K44" s="6"/>
      <c r="M44" s="41">
        <v>0.3402777777777778</v>
      </c>
    </row>
    <row r="45">
      <c r="A45" s="139" t="s">
        <v>36</v>
      </c>
      <c r="B45" s="137"/>
      <c r="C45" s="140" t="s">
        <v>37</v>
      </c>
      <c r="J45" s="8"/>
      <c r="K45" s="6"/>
      <c r="M45" s="41">
        <v>0.3402777777777778</v>
      </c>
      <c r="O45" s="41">
        <v>0.3875</v>
      </c>
    </row>
    <row r="46" ht="11.25" customHeight="1">
      <c r="A46" s="58"/>
      <c r="B46" s="59"/>
      <c r="C46" s="59"/>
      <c r="D46" s="59"/>
      <c r="E46" s="11"/>
      <c r="F46" s="59"/>
      <c r="G46" s="11"/>
      <c r="H46" s="59"/>
      <c r="I46" s="59"/>
      <c r="J46" s="60"/>
      <c r="K46" s="6"/>
      <c r="O46" s="41">
        <v>0.0763888888888889</v>
      </c>
    </row>
  </sheetData>
  <mergeCells count="124"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J8"/>
    <mergeCell ref="C9:J9"/>
    <mergeCell ref="C10:J10"/>
    <mergeCell ref="C11:D11"/>
    <mergeCell ref="E11:F11"/>
    <mergeCell ref="G11:H11"/>
    <mergeCell ref="I11:J11"/>
    <mergeCell ref="C12:D12"/>
    <mergeCell ref="E12:F12"/>
    <mergeCell ref="G12:H12"/>
    <mergeCell ref="I12:J12"/>
    <mergeCell ref="E13:F13"/>
    <mergeCell ref="G13:H13"/>
    <mergeCell ref="I13:J13"/>
    <mergeCell ref="G15:H15"/>
    <mergeCell ref="I15:J15"/>
    <mergeCell ref="C13:D13"/>
    <mergeCell ref="C14:D14"/>
    <mergeCell ref="E14:F14"/>
    <mergeCell ref="G14:H14"/>
    <mergeCell ref="I14:J14"/>
    <mergeCell ref="C15:D15"/>
    <mergeCell ref="E15:F15"/>
    <mergeCell ref="G19:H19"/>
    <mergeCell ref="I19:J19"/>
    <mergeCell ref="C25:D25"/>
    <mergeCell ref="C26:D26"/>
    <mergeCell ref="E26:F26"/>
    <mergeCell ref="G26:H26"/>
    <mergeCell ref="I26:J26"/>
    <mergeCell ref="C27:J27"/>
    <mergeCell ref="C28:J28"/>
    <mergeCell ref="C29:J29"/>
    <mergeCell ref="C30:J30"/>
    <mergeCell ref="C31:J31"/>
    <mergeCell ref="C32:D32"/>
    <mergeCell ref="E32:F32"/>
    <mergeCell ref="G32:H32"/>
    <mergeCell ref="I32:J32"/>
    <mergeCell ref="C33:D33"/>
    <mergeCell ref="E33:F33"/>
    <mergeCell ref="G33:H33"/>
    <mergeCell ref="I33:J33"/>
    <mergeCell ref="E34:F34"/>
    <mergeCell ref="G34:H34"/>
    <mergeCell ref="I34:J34"/>
    <mergeCell ref="C34:D34"/>
    <mergeCell ref="C35:D35"/>
    <mergeCell ref="E35:F35"/>
    <mergeCell ref="G35:H35"/>
    <mergeCell ref="I35:J35"/>
    <mergeCell ref="C36:D36"/>
    <mergeCell ref="E36:F36"/>
    <mergeCell ref="D44:E44"/>
    <mergeCell ref="D46:E46"/>
    <mergeCell ref="F46:G46"/>
    <mergeCell ref="A39:J39"/>
    <mergeCell ref="A40:J40"/>
    <mergeCell ref="A41:J41"/>
    <mergeCell ref="A42:J42"/>
    <mergeCell ref="F43:G43"/>
    <mergeCell ref="F44:G44"/>
    <mergeCell ref="C45:J45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C24:D24"/>
    <mergeCell ref="E24:F24"/>
    <mergeCell ref="G24:H24"/>
    <mergeCell ref="I24:J24"/>
    <mergeCell ref="E25:F25"/>
    <mergeCell ref="G25:H25"/>
    <mergeCell ref="I25:J25"/>
    <mergeCell ref="E38:F38"/>
    <mergeCell ref="G38:H38"/>
    <mergeCell ref="G36:H36"/>
    <mergeCell ref="I36:J36"/>
    <mergeCell ref="C37:D37"/>
    <mergeCell ref="E37:F37"/>
    <mergeCell ref="G37:H37"/>
    <mergeCell ref="I37:J37"/>
    <mergeCell ref="C38:D38"/>
    <mergeCell ref="I38:J38"/>
  </mergeCells>
  <printOptions gridLines="1" horizontalCentered="1"/>
  <pageMargins bottom="0.75" footer="0.0" header="0.0" left="0.25" right="0.25" top="0.75"/>
  <pageSetup paperSize="5" cellComments="atEnd" orientation="portrait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13.0"/>
    <col customWidth="1" min="15" max="15" width="8.88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64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65</v>
      </c>
      <c r="C5" s="15"/>
      <c r="D5" s="15"/>
      <c r="E5" s="5"/>
      <c r="F5" s="177" t="s">
        <v>66</v>
      </c>
      <c r="G5" s="178"/>
      <c r="H5" s="179"/>
      <c r="I5" s="179"/>
      <c r="J5" s="179"/>
      <c r="K5" s="6"/>
    </row>
    <row r="6">
      <c r="A6" s="172" t="s">
        <v>10</v>
      </c>
      <c r="B6" s="176" t="s">
        <v>256</v>
      </c>
      <c r="C6" s="15"/>
      <c r="D6" s="15"/>
      <c r="E6" s="5"/>
      <c r="F6" s="180" t="s">
        <v>12</v>
      </c>
      <c r="G6" s="15"/>
      <c r="H6" s="15"/>
      <c r="I6" s="15"/>
      <c r="J6" s="5"/>
      <c r="K6" s="6"/>
      <c r="L6" s="13"/>
      <c r="M6" s="13"/>
      <c r="N6" s="13"/>
      <c r="O6" s="13"/>
      <c r="P6" s="13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  <c r="L7" s="13"/>
      <c r="M7" s="13"/>
      <c r="N7" s="13"/>
      <c r="O7" s="13"/>
      <c r="P7" s="13"/>
    </row>
    <row r="8">
      <c r="A8" s="148">
        <v>1.0</v>
      </c>
      <c r="B8" s="199" t="s">
        <v>23</v>
      </c>
      <c r="C8" s="147" t="s">
        <v>78</v>
      </c>
      <c r="D8" s="15"/>
      <c r="E8" s="15"/>
      <c r="F8" s="15"/>
      <c r="G8" s="15"/>
      <c r="H8" s="15"/>
      <c r="I8" s="15"/>
      <c r="J8" s="5"/>
      <c r="K8" s="6"/>
      <c r="L8" s="13"/>
      <c r="M8" s="13"/>
      <c r="N8" s="13"/>
      <c r="O8" s="13"/>
      <c r="P8" s="13"/>
    </row>
    <row r="9">
      <c r="A9" s="149">
        <v>2.0</v>
      </c>
      <c r="B9" s="200" t="s">
        <v>202</v>
      </c>
      <c r="C9" s="151">
        <v>0.35</v>
      </c>
      <c r="D9" s="5"/>
      <c r="E9" s="151">
        <v>0.5</v>
      </c>
      <c r="F9" s="5"/>
      <c r="G9" s="151">
        <v>0.5416666666666666</v>
      </c>
      <c r="H9" s="5"/>
      <c r="I9" s="151">
        <v>0.75</v>
      </c>
      <c r="J9" s="5"/>
      <c r="K9" s="6"/>
      <c r="L9" s="29">
        <v>6.0</v>
      </c>
      <c r="M9" s="93">
        <v>30.0</v>
      </c>
      <c r="N9" s="13"/>
      <c r="O9" s="13"/>
      <c r="P9" s="13"/>
    </row>
    <row r="10">
      <c r="A10" s="149">
        <v>3.0</v>
      </c>
      <c r="B10" s="201" t="s">
        <v>25</v>
      </c>
      <c r="C10" s="150">
        <v>0.33819444444444446</v>
      </c>
      <c r="D10" s="5"/>
      <c r="E10" s="147" t="s">
        <v>103</v>
      </c>
      <c r="F10" s="5"/>
      <c r="G10" s="147" t="s">
        <v>103</v>
      </c>
      <c r="H10" s="5"/>
      <c r="I10" s="150">
        <v>0.4986111111111111</v>
      </c>
      <c r="J10" s="5"/>
      <c r="K10" s="6"/>
      <c r="L10" s="29">
        <v>0.0</v>
      </c>
      <c r="M10" s="13"/>
      <c r="N10" s="13"/>
      <c r="O10" s="13"/>
      <c r="P10" s="13"/>
    </row>
    <row r="11">
      <c r="A11" s="149">
        <v>4.0</v>
      </c>
      <c r="B11" s="199" t="s">
        <v>18</v>
      </c>
      <c r="C11" s="147" t="s">
        <v>103</v>
      </c>
      <c r="D11" s="5"/>
      <c r="E11" s="147" t="s">
        <v>103</v>
      </c>
      <c r="F11" s="5"/>
      <c r="G11" s="147" t="s">
        <v>103</v>
      </c>
      <c r="H11" s="5"/>
      <c r="I11" s="147" t="s">
        <v>103</v>
      </c>
      <c r="J11" s="5"/>
      <c r="K11" s="6"/>
      <c r="L11" s="13"/>
      <c r="M11" s="13"/>
      <c r="N11" s="13"/>
      <c r="O11" s="13"/>
      <c r="P11" s="13"/>
    </row>
    <row r="12">
      <c r="A12" s="149">
        <v>5.0</v>
      </c>
      <c r="B12" s="201" t="s">
        <v>19</v>
      </c>
      <c r="C12" s="150">
        <v>0.35</v>
      </c>
      <c r="D12" s="5"/>
      <c r="E12" s="150">
        <v>0.5</v>
      </c>
      <c r="F12" s="5"/>
      <c r="G12" s="150">
        <v>0.5416666666666666</v>
      </c>
      <c r="H12" s="5"/>
      <c r="I12" s="150">
        <v>0.7083333333333334</v>
      </c>
      <c r="J12" s="5"/>
      <c r="K12" s="6"/>
      <c r="L12" s="29">
        <v>0.0</v>
      </c>
      <c r="M12" s="29">
        <v>-30.0</v>
      </c>
      <c r="N12" s="13"/>
      <c r="O12" s="13"/>
      <c r="P12" s="13"/>
    </row>
    <row r="13">
      <c r="A13" s="149">
        <v>6.0</v>
      </c>
      <c r="B13" s="201" t="s">
        <v>20</v>
      </c>
      <c r="C13" s="150">
        <v>0.3541666666666667</v>
      </c>
      <c r="D13" s="5"/>
      <c r="E13" s="150">
        <v>0.5013888888888889</v>
      </c>
      <c r="F13" s="5"/>
      <c r="G13" s="150">
        <v>0.5423611111111111</v>
      </c>
      <c r="H13" s="5"/>
      <c r="I13" s="150">
        <v>0.7131944444444445</v>
      </c>
      <c r="J13" s="5"/>
      <c r="K13" s="6"/>
      <c r="L13" s="29">
        <v>7.0</v>
      </c>
      <c r="M13" s="29">
        <v>-30.0</v>
      </c>
      <c r="N13" s="13"/>
      <c r="O13" s="13"/>
      <c r="P13" s="13"/>
    </row>
    <row r="14">
      <c r="A14" s="149">
        <v>7.0</v>
      </c>
      <c r="B14" s="201" t="s">
        <v>21</v>
      </c>
      <c r="C14" s="150">
        <v>0.35208333333333336</v>
      </c>
      <c r="D14" s="5"/>
      <c r="E14" s="150">
        <v>0.5</v>
      </c>
      <c r="F14" s="5"/>
      <c r="G14" s="150">
        <v>0.5416666666666666</v>
      </c>
      <c r="H14" s="5"/>
      <c r="I14" s="150">
        <v>0.7083333333333334</v>
      </c>
      <c r="J14" s="5"/>
      <c r="K14" s="6"/>
      <c r="L14" s="29">
        <v>0.0</v>
      </c>
      <c r="M14" s="29">
        <v>-30.0</v>
      </c>
      <c r="N14" s="13"/>
      <c r="O14" s="13"/>
      <c r="P14" s="13"/>
    </row>
    <row r="15">
      <c r="A15" s="149">
        <v>8.0</v>
      </c>
      <c r="B15" s="199" t="s">
        <v>29</v>
      </c>
      <c r="C15" s="150">
        <v>0.35138888888888886</v>
      </c>
      <c r="D15" s="5"/>
      <c r="E15" s="151">
        <v>0.5</v>
      </c>
      <c r="F15" s="5"/>
      <c r="G15" s="151">
        <v>0.5416666666666666</v>
      </c>
      <c r="H15" s="5"/>
      <c r="I15" s="181" t="s">
        <v>103</v>
      </c>
      <c r="J15" s="5"/>
      <c r="K15" s="6"/>
      <c r="L15" s="29">
        <v>0.0</v>
      </c>
      <c r="M15" s="29">
        <v>-30.0</v>
      </c>
      <c r="N15" s="13"/>
      <c r="O15" s="13"/>
      <c r="P15" s="13"/>
    </row>
    <row r="16">
      <c r="A16" s="149">
        <v>9.0</v>
      </c>
      <c r="B16" s="200" t="s">
        <v>202</v>
      </c>
      <c r="C16" s="151">
        <v>0.3506944444444444</v>
      </c>
      <c r="D16" s="5"/>
      <c r="E16" s="151">
        <v>0.5</v>
      </c>
      <c r="F16" s="5"/>
      <c r="G16" s="151">
        <v>0.5416666666666666</v>
      </c>
      <c r="H16" s="5"/>
      <c r="I16" s="151">
        <v>0.7083333333333334</v>
      </c>
      <c r="J16" s="5"/>
      <c r="K16" s="6"/>
      <c r="L16" s="29">
        <v>0.0</v>
      </c>
      <c r="M16" s="29">
        <v>-30.0</v>
      </c>
      <c r="N16" s="13"/>
      <c r="O16" s="13"/>
      <c r="P16" s="13"/>
    </row>
    <row r="17">
      <c r="A17" s="149">
        <v>10.0</v>
      </c>
      <c r="B17" s="201" t="s">
        <v>58</v>
      </c>
      <c r="C17" s="150">
        <v>0.3333333333333333</v>
      </c>
      <c r="D17" s="5"/>
      <c r="E17" s="147" t="s">
        <v>103</v>
      </c>
      <c r="F17" s="5"/>
      <c r="G17" s="147" t="s">
        <v>103</v>
      </c>
      <c r="H17" s="5"/>
      <c r="I17" s="150">
        <v>0.4965277777777778</v>
      </c>
      <c r="J17" s="5"/>
      <c r="K17" s="6"/>
      <c r="L17" s="29">
        <v>0.0</v>
      </c>
      <c r="M17" s="13"/>
      <c r="N17" s="13"/>
      <c r="O17" s="13"/>
      <c r="P17" s="13"/>
    </row>
    <row r="18">
      <c r="A18" s="149">
        <v>11.0</v>
      </c>
      <c r="B18" s="199" t="s">
        <v>275</v>
      </c>
      <c r="C18" s="147" t="s">
        <v>103</v>
      </c>
      <c r="D18" s="5"/>
      <c r="E18" s="147" t="s">
        <v>103</v>
      </c>
      <c r="F18" s="5"/>
      <c r="G18" s="147" t="s">
        <v>103</v>
      </c>
      <c r="H18" s="5"/>
      <c r="I18" s="147" t="s">
        <v>103</v>
      </c>
      <c r="J18" s="5"/>
      <c r="K18" s="6"/>
      <c r="L18" s="13"/>
      <c r="M18" s="13"/>
      <c r="N18" s="13"/>
      <c r="O18" s="35"/>
      <c r="P18" s="13"/>
    </row>
    <row r="19">
      <c r="A19" s="149">
        <v>12.0</v>
      </c>
      <c r="B19" s="200" t="s">
        <v>19</v>
      </c>
      <c r="C19" s="150">
        <v>0.34930555555555554</v>
      </c>
      <c r="D19" s="5"/>
      <c r="E19" s="150">
        <v>0.5083333333333333</v>
      </c>
      <c r="F19" s="5"/>
      <c r="G19" s="150">
        <v>0.5430555555555555</v>
      </c>
      <c r="H19" s="5"/>
      <c r="I19" s="150">
        <v>0.7083333333333334</v>
      </c>
      <c r="J19" s="5"/>
      <c r="K19" s="6"/>
      <c r="L19" s="29">
        <v>17.0</v>
      </c>
      <c r="M19" s="29">
        <v>-30.0</v>
      </c>
      <c r="N19" s="13"/>
      <c r="O19" s="35"/>
      <c r="P19" s="13"/>
    </row>
    <row r="20">
      <c r="A20" s="149">
        <v>13.0</v>
      </c>
      <c r="B20" s="200" t="s">
        <v>20</v>
      </c>
      <c r="C20" s="150">
        <v>0.35</v>
      </c>
      <c r="D20" s="5"/>
      <c r="E20" s="150">
        <v>0.5</v>
      </c>
      <c r="F20" s="5"/>
      <c r="G20" s="150">
        <v>0.5416666666666666</v>
      </c>
      <c r="H20" s="5"/>
      <c r="I20" s="150">
        <v>0.7083333333333334</v>
      </c>
      <c r="J20" s="5"/>
      <c r="K20" s="6"/>
      <c r="L20" s="29">
        <v>0.0</v>
      </c>
      <c r="M20" s="29">
        <v>-30.0</v>
      </c>
      <c r="N20" s="13"/>
      <c r="O20" s="13"/>
      <c r="P20" s="13"/>
    </row>
    <row r="21">
      <c r="A21" s="149">
        <v>14.0</v>
      </c>
      <c r="B21" s="201" t="s">
        <v>21</v>
      </c>
      <c r="C21" s="150">
        <v>0.3486111111111111</v>
      </c>
      <c r="D21" s="5"/>
      <c r="E21" s="150">
        <v>0.5</v>
      </c>
      <c r="F21" s="5"/>
      <c r="G21" s="150">
        <v>0.5416666666666666</v>
      </c>
      <c r="H21" s="5"/>
      <c r="I21" s="150">
        <v>0.7083333333333334</v>
      </c>
      <c r="J21" s="5"/>
      <c r="K21" s="6"/>
      <c r="L21" s="29">
        <v>8.0</v>
      </c>
      <c r="M21" s="29">
        <v>-30.0</v>
      </c>
      <c r="N21" s="13"/>
      <c r="O21" s="13"/>
      <c r="P21" s="13"/>
    </row>
    <row r="22">
      <c r="A22" s="149">
        <v>15.0</v>
      </c>
      <c r="B22" s="199" t="s">
        <v>29</v>
      </c>
      <c r="C22" s="150">
        <v>0.35</v>
      </c>
      <c r="D22" s="5"/>
      <c r="E22" s="151">
        <v>0.5</v>
      </c>
      <c r="F22" s="5"/>
      <c r="G22" s="151">
        <v>0.5416666666666666</v>
      </c>
      <c r="H22" s="5"/>
      <c r="I22" s="150">
        <v>0.7083333333333334</v>
      </c>
      <c r="J22" s="5"/>
      <c r="K22" s="6"/>
      <c r="L22" s="29">
        <v>0.0</v>
      </c>
      <c r="M22" s="29">
        <v>-30.0</v>
      </c>
      <c r="N22" s="93" t="s">
        <v>260</v>
      </c>
      <c r="O22" s="183" t="s">
        <v>276</v>
      </c>
      <c r="P22" s="94">
        <v>0.02638888888888889</v>
      </c>
    </row>
    <row r="23">
      <c r="A23" s="149">
        <v>16.0</v>
      </c>
      <c r="B23" s="200" t="s">
        <v>202</v>
      </c>
      <c r="C23" s="151">
        <v>0.35138888888888886</v>
      </c>
      <c r="D23" s="5"/>
      <c r="E23" s="151">
        <v>0.5</v>
      </c>
      <c r="F23" s="5"/>
      <c r="G23" s="151">
        <v>0.5416666666666666</v>
      </c>
      <c r="H23" s="5"/>
      <c r="I23" s="151">
        <v>0.7083333333333334</v>
      </c>
      <c r="J23" s="5"/>
      <c r="K23" s="6"/>
      <c r="L23" s="29">
        <v>0.0</v>
      </c>
      <c r="M23" s="29">
        <v>-30.0</v>
      </c>
      <c r="N23" s="13"/>
      <c r="O23" s="13"/>
      <c r="P23" s="13"/>
    </row>
    <row r="24">
      <c r="A24" s="149">
        <v>17.0</v>
      </c>
      <c r="B24" s="201" t="s">
        <v>25</v>
      </c>
      <c r="C24" s="150">
        <v>0.33194444444444443</v>
      </c>
      <c r="D24" s="5"/>
      <c r="E24" s="147" t="s">
        <v>103</v>
      </c>
      <c r="F24" s="5"/>
      <c r="G24" s="147" t="s">
        <v>103</v>
      </c>
      <c r="H24" s="5"/>
      <c r="I24" s="151">
        <v>0.49166666666666664</v>
      </c>
      <c r="J24" s="5"/>
      <c r="K24" s="6"/>
      <c r="L24" s="13"/>
      <c r="M24" s="13"/>
      <c r="N24" s="13"/>
      <c r="O24" s="13"/>
      <c r="P24" s="13"/>
    </row>
    <row r="25">
      <c r="A25" s="149">
        <v>18.0</v>
      </c>
      <c r="B25" s="199" t="s">
        <v>18</v>
      </c>
      <c r="C25" s="147" t="s">
        <v>103</v>
      </c>
      <c r="D25" s="5"/>
      <c r="E25" s="147" t="s">
        <v>103</v>
      </c>
      <c r="F25" s="5"/>
      <c r="G25" s="147" t="s">
        <v>103</v>
      </c>
      <c r="H25" s="5"/>
      <c r="I25" s="147" t="s">
        <v>103</v>
      </c>
      <c r="J25" s="5"/>
      <c r="K25" s="6"/>
      <c r="L25" s="13"/>
      <c r="M25" s="13"/>
      <c r="N25" s="13"/>
      <c r="O25" s="13"/>
      <c r="P25" s="13"/>
    </row>
    <row r="26">
      <c r="A26" s="149">
        <v>19.0</v>
      </c>
      <c r="B26" s="200" t="s">
        <v>26</v>
      </c>
      <c r="C26" s="150">
        <v>0.35</v>
      </c>
      <c r="D26" s="5"/>
      <c r="E26" s="150">
        <v>0.5</v>
      </c>
      <c r="F26" s="5"/>
      <c r="G26" s="150">
        <v>0.5409722222222222</v>
      </c>
      <c r="H26" s="5"/>
      <c r="I26" s="150">
        <v>0.7083333333333334</v>
      </c>
      <c r="J26" s="5"/>
      <c r="K26" s="127"/>
      <c r="L26" s="29">
        <v>0.0</v>
      </c>
      <c r="M26" s="29">
        <v>-30.0</v>
      </c>
      <c r="N26" s="227" t="s">
        <v>190</v>
      </c>
      <c r="O26" s="219" t="s">
        <v>277</v>
      </c>
      <c r="P26" s="221">
        <v>0.02638888888888889</v>
      </c>
      <c r="S26" s="142" t="s">
        <v>154</v>
      </c>
    </row>
    <row r="27">
      <c r="A27" s="149">
        <v>20.0</v>
      </c>
      <c r="B27" s="200" t="s">
        <v>20</v>
      </c>
      <c r="C27" s="150">
        <v>0.35</v>
      </c>
      <c r="D27" s="5"/>
      <c r="E27" s="150">
        <v>0.5090277777777777</v>
      </c>
      <c r="F27" s="5"/>
      <c r="G27" s="150">
        <v>0.55</v>
      </c>
      <c r="H27" s="5"/>
      <c r="I27" s="150">
        <v>0.7083333333333334</v>
      </c>
      <c r="J27" s="5"/>
      <c r="K27" s="6"/>
      <c r="L27" s="29">
        <v>7.0</v>
      </c>
      <c r="M27" s="29">
        <v>-30.0</v>
      </c>
      <c r="N27" s="13"/>
      <c r="O27" s="13"/>
      <c r="P27" s="13"/>
    </row>
    <row r="28">
      <c r="A28" s="149">
        <v>21.0</v>
      </c>
      <c r="B28" s="199" t="s">
        <v>21</v>
      </c>
      <c r="C28" s="147" t="s">
        <v>62</v>
      </c>
      <c r="D28" s="15"/>
      <c r="E28" s="15"/>
      <c r="F28" s="15"/>
      <c r="G28" s="15"/>
      <c r="H28" s="15"/>
      <c r="I28" s="15"/>
      <c r="J28" s="5"/>
      <c r="K28" s="6"/>
      <c r="L28" s="13"/>
      <c r="M28" s="31"/>
      <c r="N28" s="191"/>
      <c r="O28" s="31"/>
      <c r="P28" s="13"/>
    </row>
    <row r="29">
      <c r="A29" s="149">
        <v>22.0</v>
      </c>
      <c r="B29" s="200" t="s">
        <v>23</v>
      </c>
      <c r="C29" s="150">
        <v>0.3506944444444444</v>
      </c>
      <c r="D29" s="5"/>
      <c r="E29" s="151">
        <v>0.5</v>
      </c>
      <c r="F29" s="5"/>
      <c r="G29" s="151">
        <v>0.5416666666666666</v>
      </c>
      <c r="H29" s="5"/>
      <c r="I29" s="150">
        <v>0.7083333333333334</v>
      </c>
      <c r="J29" s="5"/>
      <c r="K29" s="6"/>
      <c r="L29" s="29">
        <v>0.0</v>
      </c>
      <c r="M29" s="29">
        <v>-30.0</v>
      </c>
      <c r="N29" s="13"/>
      <c r="O29" s="13"/>
      <c r="P29" s="13"/>
    </row>
    <row r="30">
      <c r="A30" s="149">
        <v>23.0</v>
      </c>
      <c r="B30" s="200" t="s">
        <v>202</v>
      </c>
      <c r="C30" s="151">
        <v>0.35</v>
      </c>
      <c r="D30" s="5"/>
      <c r="E30" s="151">
        <v>0.5</v>
      </c>
      <c r="F30" s="5"/>
      <c r="G30" s="151">
        <v>0.5416666666666666</v>
      </c>
      <c r="H30" s="5"/>
      <c r="I30" s="151">
        <v>0.7083333333333334</v>
      </c>
      <c r="J30" s="5"/>
      <c r="K30" s="6"/>
      <c r="L30" s="29">
        <v>6.0</v>
      </c>
      <c r="M30" s="29">
        <v>-30.0</v>
      </c>
      <c r="N30" s="13"/>
      <c r="O30" s="13"/>
      <c r="P30" s="13"/>
    </row>
    <row r="31">
      <c r="A31" s="149">
        <v>24.0</v>
      </c>
      <c r="B31" s="199" t="s">
        <v>58</v>
      </c>
      <c r="C31" s="150">
        <v>0.3284722222222222</v>
      </c>
      <c r="D31" s="5"/>
      <c r="E31" s="147" t="s">
        <v>103</v>
      </c>
      <c r="F31" s="5"/>
      <c r="G31" s="147" t="s">
        <v>103</v>
      </c>
      <c r="H31" s="5"/>
      <c r="I31" s="150">
        <v>0.5027777777777778</v>
      </c>
      <c r="J31" s="5"/>
      <c r="K31" s="6"/>
      <c r="L31" s="29">
        <v>11.0</v>
      </c>
      <c r="M31" s="13"/>
      <c r="N31" s="13"/>
      <c r="O31" s="13"/>
      <c r="P31" s="13"/>
    </row>
    <row r="32">
      <c r="A32" s="149">
        <v>25.0</v>
      </c>
      <c r="B32" s="200" t="s">
        <v>18</v>
      </c>
      <c r="C32" s="147" t="s">
        <v>103</v>
      </c>
      <c r="D32" s="5"/>
      <c r="E32" s="147"/>
      <c r="F32" s="5"/>
      <c r="G32" s="147" t="s">
        <v>103</v>
      </c>
      <c r="H32" s="5"/>
      <c r="I32" s="147" t="s">
        <v>103</v>
      </c>
      <c r="J32" s="5"/>
      <c r="K32" s="6"/>
      <c r="L32" s="13"/>
      <c r="M32" s="13"/>
      <c r="N32" s="13"/>
      <c r="O32" s="13"/>
      <c r="P32" s="13"/>
    </row>
    <row r="33">
      <c r="A33" s="149">
        <v>26.0</v>
      </c>
      <c r="B33" s="200" t="s">
        <v>19</v>
      </c>
      <c r="C33" s="150">
        <v>0.3527777777777778</v>
      </c>
      <c r="D33" s="5"/>
      <c r="E33" s="150">
        <v>0.5</v>
      </c>
      <c r="F33" s="5"/>
      <c r="G33" s="150">
        <v>0.5416666666666666</v>
      </c>
      <c r="H33" s="5"/>
      <c r="I33" s="150">
        <v>0.7479166666666667</v>
      </c>
      <c r="J33" s="5"/>
      <c r="K33" s="6"/>
      <c r="L33" s="29">
        <v>0.0</v>
      </c>
      <c r="M33" s="93">
        <v>30.0</v>
      </c>
      <c r="N33" s="13"/>
      <c r="O33" s="13"/>
      <c r="P33" s="13"/>
    </row>
    <row r="34">
      <c r="A34" s="149">
        <v>27.0</v>
      </c>
      <c r="B34" s="203" t="s">
        <v>20</v>
      </c>
      <c r="C34" s="150">
        <v>0.3527777777777778</v>
      </c>
      <c r="D34" s="5"/>
      <c r="E34" s="150">
        <v>0.5</v>
      </c>
      <c r="F34" s="5"/>
      <c r="G34" s="150">
        <v>0.5416666666666666</v>
      </c>
      <c r="H34" s="5"/>
      <c r="I34" s="150">
        <v>0.7444444444444445</v>
      </c>
      <c r="J34" s="5"/>
      <c r="K34" s="6"/>
      <c r="L34" s="29">
        <v>6.0</v>
      </c>
      <c r="M34" s="93">
        <v>30.0</v>
      </c>
      <c r="N34" s="227" t="s">
        <v>190</v>
      </c>
      <c r="O34" s="219" t="s">
        <v>278</v>
      </c>
      <c r="P34" s="221">
        <v>0.08888888888888889</v>
      </c>
      <c r="Q34" s="44"/>
      <c r="R34" s="44"/>
      <c r="S34" s="45"/>
      <c r="T34" s="45"/>
      <c r="U34" s="44"/>
      <c r="V34" s="13"/>
    </row>
    <row r="35">
      <c r="A35" s="149">
        <v>28.0</v>
      </c>
      <c r="B35" s="200" t="s">
        <v>21</v>
      </c>
      <c r="C35" s="151">
        <v>0.3527777777777778</v>
      </c>
      <c r="D35" s="5"/>
      <c r="E35" s="151">
        <v>0.5159722222222223</v>
      </c>
      <c r="F35" s="5"/>
      <c r="G35" s="151">
        <v>0.5576388888888889</v>
      </c>
      <c r="H35" s="5"/>
      <c r="I35" s="151">
        <v>0.7423611111111111</v>
      </c>
      <c r="J35" s="5"/>
      <c r="L35" s="29">
        <v>-9.0</v>
      </c>
      <c r="M35" s="228">
        <v>30.0</v>
      </c>
      <c r="N35" s="29"/>
      <c r="O35" s="13"/>
      <c r="P35" s="13"/>
      <c r="Q35" s="13"/>
      <c r="R35" s="13"/>
      <c r="S35" s="13"/>
      <c r="T35" s="13"/>
      <c r="U35" s="13"/>
      <c r="V35" s="13"/>
    </row>
    <row r="36">
      <c r="A36" s="163">
        <v>29.0</v>
      </c>
      <c r="B36" s="200" t="s">
        <v>23</v>
      </c>
      <c r="C36" s="151">
        <v>0.3486111111111111</v>
      </c>
      <c r="D36" s="5"/>
      <c r="E36" s="151">
        <v>0.5</v>
      </c>
      <c r="F36" s="5"/>
      <c r="G36" s="151">
        <v>0.5416666666666666</v>
      </c>
      <c r="H36" s="5"/>
      <c r="I36" s="151">
        <v>0.7083333333333334</v>
      </c>
      <c r="J36" s="5"/>
      <c r="K36" s="6"/>
      <c r="L36" s="29">
        <v>8.0</v>
      </c>
      <c r="M36" s="29">
        <v>-30.0</v>
      </c>
      <c r="N36" s="13"/>
      <c r="O36" s="13"/>
      <c r="P36" s="13"/>
    </row>
    <row r="37">
      <c r="A37" s="163">
        <v>30.0</v>
      </c>
      <c r="B37" s="200" t="s">
        <v>202</v>
      </c>
      <c r="C37" s="151">
        <v>0.37916666666666665</v>
      </c>
      <c r="D37" s="5"/>
      <c r="E37" s="151">
        <v>0.5</v>
      </c>
      <c r="F37" s="5"/>
      <c r="G37" s="151">
        <v>0.5416666666666666</v>
      </c>
      <c r="H37" s="5"/>
      <c r="I37" s="151">
        <v>0.7097222222222223</v>
      </c>
      <c r="J37" s="5"/>
      <c r="K37" s="6"/>
      <c r="L37" s="29">
        <v>-36.0</v>
      </c>
      <c r="M37" s="29">
        <v>-30.0</v>
      </c>
      <c r="N37" s="227" t="s">
        <v>190</v>
      </c>
      <c r="O37" s="226">
        <v>-0.3645833333333333</v>
      </c>
      <c r="P37" s="221">
        <v>0.11527777777777778</v>
      </c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L38" s="13"/>
      <c r="M38" s="31"/>
      <c r="N38" s="39"/>
      <c r="O38" s="31" t="s">
        <v>279</v>
      </c>
      <c r="P38" s="13"/>
    </row>
    <row r="39">
      <c r="A39" s="107" t="s">
        <v>280</v>
      </c>
      <c r="B39" s="15"/>
      <c r="C39" s="15"/>
      <c r="D39" s="15"/>
      <c r="E39" s="15"/>
      <c r="F39" s="15"/>
      <c r="G39" s="15"/>
      <c r="H39" s="15"/>
      <c r="I39" s="15"/>
      <c r="J39" s="5"/>
      <c r="K39" s="6"/>
      <c r="L39" s="13"/>
      <c r="M39" s="13"/>
      <c r="N39" s="13"/>
      <c r="O39" s="29">
        <v>3.16</v>
      </c>
      <c r="P39" s="13"/>
    </row>
    <row r="40">
      <c r="A40" s="107" t="s">
        <v>281</v>
      </c>
      <c r="B40" s="15"/>
      <c r="C40" s="15"/>
      <c r="D40" s="15"/>
      <c r="E40" s="15"/>
      <c r="F40" s="15"/>
      <c r="G40" s="15"/>
      <c r="H40" s="15"/>
      <c r="I40" s="15"/>
      <c r="J40" s="5"/>
      <c r="K40" s="6"/>
      <c r="L40" s="13"/>
      <c r="M40" s="13"/>
      <c r="N40" s="13"/>
      <c r="O40" s="13"/>
      <c r="P40" s="29">
        <v>3.16</v>
      </c>
    </row>
    <row r="41">
      <c r="A41" s="132" t="s">
        <v>282</v>
      </c>
      <c r="B41" s="3"/>
      <c r="C41" s="3"/>
      <c r="D41" s="3"/>
      <c r="E41" s="3"/>
      <c r="F41" s="3"/>
      <c r="G41" s="3"/>
      <c r="H41" s="3"/>
      <c r="I41" s="3"/>
      <c r="J41" s="2"/>
      <c r="K41" s="6"/>
      <c r="L41" s="13"/>
      <c r="M41" s="13"/>
      <c r="N41" s="13"/>
      <c r="O41" s="29">
        <v>5.29</v>
      </c>
      <c r="P41" s="13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  <c r="O42" s="142">
        <v>12.37</v>
      </c>
    </row>
    <row r="43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  <c r="O44" s="157">
        <f>60-23</f>
        <v>37</v>
      </c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39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F7:G7"/>
    <mergeCell ref="I7:J7"/>
    <mergeCell ref="C8:J8"/>
    <mergeCell ref="G10:H10"/>
    <mergeCell ref="I10:J10"/>
    <mergeCell ref="C7:D7"/>
    <mergeCell ref="C9:D9"/>
    <mergeCell ref="E9:F9"/>
    <mergeCell ref="G9:H9"/>
    <mergeCell ref="I9:J9"/>
    <mergeCell ref="C10:D10"/>
    <mergeCell ref="E10:F10"/>
    <mergeCell ref="C11:D11"/>
    <mergeCell ref="E11:F11"/>
    <mergeCell ref="G11:H11"/>
    <mergeCell ref="I11:J11"/>
    <mergeCell ref="E12:F12"/>
    <mergeCell ref="G12:H12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C28:J28"/>
    <mergeCell ref="C29:D29"/>
    <mergeCell ref="E29:F29"/>
    <mergeCell ref="C30:D30"/>
    <mergeCell ref="E30:F30"/>
    <mergeCell ref="G30:H30"/>
    <mergeCell ref="I30:J30"/>
    <mergeCell ref="E31:F31"/>
    <mergeCell ref="G31:H31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D44:E44"/>
    <mergeCell ref="F44:G44"/>
    <mergeCell ref="D45:E45"/>
    <mergeCell ref="F45:G45"/>
    <mergeCell ref="A38:J38"/>
    <mergeCell ref="A39:J39"/>
    <mergeCell ref="A40:J40"/>
    <mergeCell ref="A41:J41"/>
    <mergeCell ref="F42:G42"/>
    <mergeCell ref="D43:E43"/>
    <mergeCell ref="F43:G43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29:H29"/>
    <mergeCell ref="I29:J29"/>
    <mergeCell ref="G37:H37"/>
    <mergeCell ref="I37:J37"/>
  </mergeCells>
  <printOptions gridLines="1" horizontalCentered="1"/>
  <pageMargins bottom="0.75" footer="0.0" header="0.0" left="0.7" right="0.7" top="0.75"/>
  <pageSetup fitToWidth="0" paperSize="5" cellComments="atEnd" orientation="portrait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8.0"/>
    <col customWidth="1" min="10" max="10" width="8.75"/>
    <col customWidth="1" min="11" max="11" width="6.88"/>
    <col customWidth="1" min="15" max="15" width="8.88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64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65</v>
      </c>
      <c r="C5" s="15"/>
      <c r="D5" s="15"/>
      <c r="E5" s="5"/>
      <c r="F5" s="177" t="s">
        <v>66</v>
      </c>
      <c r="G5" s="178"/>
      <c r="H5" s="179"/>
      <c r="I5" s="179"/>
      <c r="J5" s="179"/>
      <c r="K5" s="6"/>
    </row>
    <row r="6">
      <c r="A6" s="172" t="s">
        <v>10</v>
      </c>
      <c r="B6" s="176" t="s">
        <v>283</v>
      </c>
      <c r="C6" s="15"/>
      <c r="D6" s="15"/>
      <c r="E6" s="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199" t="s">
        <v>25</v>
      </c>
      <c r="C8" s="150"/>
      <c r="D8" s="5"/>
      <c r="E8" s="181" t="s">
        <v>103</v>
      </c>
      <c r="F8" s="5"/>
      <c r="G8" s="181" t="s">
        <v>103</v>
      </c>
      <c r="H8" s="5"/>
      <c r="I8" s="181" t="s">
        <v>103</v>
      </c>
      <c r="J8" s="5"/>
      <c r="K8" s="6"/>
    </row>
    <row r="9">
      <c r="A9" s="149">
        <v>2.0</v>
      </c>
      <c r="B9" s="200" t="s">
        <v>284</v>
      </c>
      <c r="C9" s="151">
        <v>0.3506944444444444</v>
      </c>
      <c r="D9" s="5"/>
      <c r="E9" s="151">
        <v>0.5</v>
      </c>
      <c r="F9" s="5"/>
      <c r="G9" s="151">
        <v>0.5444444444444444</v>
      </c>
      <c r="H9" s="5"/>
      <c r="I9" s="181" t="s">
        <v>103</v>
      </c>
      <c r="J9" s="5"/>
      <c r="K9" s="6"/>
      <c r="L9" s="142">
        <v>0.0</v>
      </c>
      <c r="N9" s="142">
        <v>-30.0</v>
      </c>
    </row>
    <row r="10">
      <c r="A10" s="149">
        <v>3.0</v>
      </c>
      <c r="B10" s="201" t="s">
        <v>19</v>
      </c>
      <c r="C10" s="150">
        <v>0.35</v>
      </c>
      <c r="D10" s="5"/>
      <c r="E10" s="150">
        <v>0.5013888888888889</v>
      </c>
      <c r="F10" s="5"/>
      <c r="G10" s="150">
        <v>0.5423611111111111</v>
      </c>
      <c r="H10" s="5"/>
      <c r="I10" s="150">
        <v>0.70625</v>
      </c>
      <c r="J10" s="5"/>
      <c r="K10" s="6"/>
      <c r="L10" s="142">
        <v>0.0</v>
      </c>
      <c r="N10" s="142">
        <v>-30.0</v>
      </c>
    </row>
    <row r="11">
      <c r="A11" s="149">
        <v>4.0</v>
      </c>
      <c r="B11" s="199" t="s">
        <v>20</v>
      </c>
      <c r="C11" s="150">
        <v>0.35</v>
      </c>
      <c r="D11" s="5"/>
      <c r="E11" s="150">
        <v>0.49930555555555556</v>
      </c>
      <c r="F11" s="5"/>
      <c r="G11" s="150">
        <v>0.5416666666666666</v>
      </c>
      <c r="H11" s="5"/>
      <c r="I11" s="150">
        <v>0.7083333333333334</v>
      </c>
      <c r="J11" s="5"/>
      <c r="K11" s="6"/>
      <c r="L11" s="142">
        <v>0.0</v>
      </c>
      <c r="N11" s="142">
        <v>-30.0</v>
      </c>
    </row>
    <row r="12">
      <c r="A12" s="149">
        <v>5.0</v>
      </c>
      <c r="B12" s="201" t="s">
        <v>21</v>
      </c>
      <c r="C12" s="150">
        <v>0.3284722222222222</v>
      </c>
      <c r="D12" s="5"/>
      <c r="E12" s="147" t="s">
        <v>103</v>
      </c>
      <c r="F12" s="5"/>
      <c r="G12" s="147" t="s">
        <v>103</v>
      </c>
      <c r="H12" s="5"/>
      <c r="I12" s="150">
        <v>0.5006944444444444</v>
      </c>
      <c r="J12" s="5"/>
      <c r="K12" s="6"/>
      <c r="L12" s="142">
        <v>8.0</v>
      </c>
    </row>
    <row r="13">
      <c r="A13" s="149">
        <v>6.0</v>
      </c>
      <c r="B13" s="201" t="s">
        <v>23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6"/>
    </row>
    <row r="14">
      <c r="A14" s="149">
        <v>7.0</v>
      </c>
      <c r="B14" s="201" t="s">
        <v>257</v>
      </c>
      <c r="C14" s="150">
        <v>0.35138888888888886</v>
      </c>
      <c r="D14" s="5"/>
      <c r="E14" s="150">
        <v>0.5</v>
      </c>
      <c r="F14" s="5"/>
      <c r="G14" s="150">
        <v>0.5423611111111111</v>
      </c>
      <c r="H14" s="5"/>
      <c r="I14" s="150">
        <v>0.7083333333333334</v>
      </c>
      <c r="J14" s="5"/>
      <c r="K14" s="6"/>
      <c r="L14" s="142">
        <v>0.0</v>
      </c>
      <c r="N14" s="142">
        <v>-30.0</v>
      </c>
    </row>
    <row r="15">
      <c r="A15" s="149">
        <v>8.0</v>
      </c>
      <c r="B15" s="199" t="s">
        <v>25</v>
      </c>
      <c r="C15" s="150">
        <v>0.3486111111111111</v>
      </c>
      <c r="D15" s="5"/>
      <c r="E15" s="151">
        <v>0.5</v>
      </c>
      <c r="F15" s="5"/>
      <c r="G15" s="151">
        <v>0.5416666666666666</v>
      </c>
      <c r="H15" s="5"/>
      <c r="I15" s="151">
        <v>0.7083333333333334</v>
      </c>
      <c r="J15" s="5"/>
      <c r="K15" s="6"/>
      <c r="L15" s="142">
        <v>8.0</v>
      </c>
      <c r="N15" s="142">
        <v>-30.0</v>
      </c>
    </row>
    <row r="16">
      <c r="A16" s="149">
        <v>9.0</v>
      </c>
      <c r="B16" s="200" t="s">
        <v>18</v>
      </c>
      <c r="C16" s="151">
        <v>0.34930555555555554</v>
      </c>
      <c r="D16" s="5"/>
      <c r="E16" s="151">
        <v>0.5</v>
      </c>
      <c r="F16" s="5"/>
      <c r="G16" s="151">
        <v>0.5423611111111111</v>
      </c>
      <c r="H16" s="5"/>
      <c r="I16" s="151">
        <v>0.7083333333333334</v>
      </c>
      <c r="J16" s="5"/>
      <c r="K16" s="6"/>
      <c r="L16" s="142">
        <v>6.0</v>
      </c>
      <c r="N16" s="142">
        <v>-30.0</v>
      </c>
    </row>
    <row r="17">
      <c r="A17" s="149">
        <v>10.0</v>
      </c>
      <c r="B17" s="201" t="s">
        <v>26</v>
      </c>
      <c r="C17" s="150">
        <v>0.3506944444444444</v>
      </c>
      <c r="D17" s="5"/>
      <c r="E17" s="150">
        <v>0.5055555555555555</v>
      </c>
      <c r="F17" s="5"/>
      <c r="G17" s="150">
        <v>0.5472222222222223</v>
      </c>
      <c r="H17" s="5"/>
      <c r="I17" s="150">
        <v>0.7083333333333334</v>
      </c>
      <c r="J17" s="5"/>
      <c r="K17" s="6"/>
      <c r="L17" s="142">
        <v>0.0</v>
      </c>
      <c r="N17" s="142">
        <v>-30.0</v>
      </c>
    </row>
    <row r="18">
      <c r="A18" s="149">
        <v>11.0</v>
      </c>
      <c r="B18" s="199" t="s">
        <v>20</v>
      </c>
      <c r="C18" s="150">
        <v>0.35138888888888886</v>
      </c>
      <c r="D18" s="5"/>
      <c r="E18" s="150">
        <v>0.5</v>
      </c>
      <c r="F18" s="5"/>
      <c r="G18" s="150">
        <v>0.5416666666666666</v>
      </c>
      <c r="H18" s="5"/>
      <c r="I18" s="150">
        <v>0.7083333333333334</v>
      </c>
      <c r="J18" s="5"/>
      <c r="K18" s="6"/>
      <c r="L18" s="142">
        <v>0.0</v>
      </c>
      <c r="M18" s="142" t="s">
        <v>285</v>
      </c>
      <c r="N18" s="142">
        <v>-30.0</v>
      </c>
    </row>
    <row r="19">
      <c r="A19" s="149">
        <v>12.0</v>
      </c>
      <c r="B19" s="200" t="s">
        <v>21</v>
      </c>
      <c r="C19" s="150">
        <v>0.3284722222222222</v>
      </c>
      <c r="D19" s="5"/>
      <c r="E19" s="147" t="s">
        <v>103</v>
      </c>
      <c r="F19" s="5"/>
      <c r="G19" s="147" t="s">
        <v>103</v>
      </c>
      <c r="H19" s="5"/>
      <c r="I19" s="150">
        <v>0.5048611111111111</v>
      </c>
      <c r="J19" s="5"/>
      <c r="K19" s="6"/>
      <c r="L19" s="229">
        <v>14.0</v>
      </c>
    </row>
    <row r="20">
      <c r="A20" s="149">
        <v>13.0</v>
      </c>
      <c r="B20" s="200" t="s">
        <v>23</v>
      </c>
      <c r="C20" s="147" t="s">
        <v>103</v>
      </c>
      <c r="D20" s="5"/>
      <c r="E20" s="147" t="s">
        <v>103</v>
      </c>
      <c r="F20" s="5"/>
      <c r="G20" s="147" t="s">
        <v>103</v>
      </c>
      <c r="H20" s="5"/>
      <c r="I20" s="147" t="s">
        <v>103</v>
      </c>
      <c r="J20" s="5"/>
      <c r="K20" s="6"/>
    </row>
    <row r="21">
      <c r="A21" s="149">
        <v>14.0</v>
      </c>
      <c r="B21" s="201" t="s">
        <v>257</v>
      </c>
      <c r="C21" s="150">
        <v>0.35694444444444445</v>
      </c>
      <c r="D21" s="5"/>
      <c r="E21" s="150">
        <v>0.49930555555555556</v>
      </c>
      <c r="F21" s="5"/>
      <c r="G21" s="150">
        <v>0.5416666666666666</v>
      </c>
      <c r="H21" s="5"/>
      <c r="I21" s="150">
        <v>0.7145833333333333</v>
      </c>
      <c r="J21" s="5"/>
      <c r="K21" s="6"/>
      <c r="L21" s="142">
        <v>0.0</v>
      </c>
      <c r="N21" s="142">
        <v>-30.0</v>
      </c>
    </row>
    <row r="22">
      <c r="A22" s="149">
        <v>15.0</v>
      </c>
      <c r="B22" s="199" t="s">
        <v>25</v>
      </c>
      <c r="C22" s="150">
        <v>0.3506944444444444</v>
      </c>
      <c r="D22" s="5"/>
      <c r="E22" s="151">
        <v>0.5034722222222222</v>
      </c>
      <c r="F22" s="5"/>
      <c r="G22" s="151">
        <v>0.5423611111111111</v>
      </c>
      <c r="H22" s="5"/>
      <c r="I22" s="150">
        <v>0.7083333333333334</v>
      </c>
      <c r="J22" s="5"/>
      <c r="K22" s="6"/>
      <c r="L22" s="142">
        <v>8.0</v>
      </c>
      <c r="N22" s="142">
        <v>-30.0</v>
      </c>
    </row>
    <row r="23">
      <c r="A23" s="149">
        <v>16.0</v>
      </c>
      <c r="B23" s="200" t="s">
        <v>18</v>
      </c>
      <c r="C23" s="151">
        <v>0.35138888888888886</v>
      </c>
      <c r="D23" s="5"/>
      <c r="E23" s="151">
        <v>0.5048611111111111</v>
      </c>
      <c r="F23" s="5"/>
      <c r="G23" s="151">
        <v>0.5465277777777777</v>
      </c>
      <c r="H23" s="5"/>
      <c r="I23" s="151">
        <v>0.7083333333333334</v>
      </c>
      <c r="J23" s="5"/>
      <c r="K23" s="6"/>
      <c r="L23" s="142">
        <v>0.0</v>
      </c>
      <c r="N23" s="142">
        <v>-30.0</v>
      </c>
    </row>
    <row r="24">
      <c r="A24" s="149">
        <v>17.0</v>
      </c>
      <c r="B24" s="201" t="s">
        <v>26</v>
      </c>
      <c r="C24" s="150">
        <v>0.3527777777777778</v>
      </c>
      <c r="D24" s="5"/>
      <c r="E24" s="150">
        <v>0.5</v>
      </c>
      <c r="F24" s="5"/>
      <c r="G24" s="150">
        <v>0.5423611111111111</v>
      </c>
      <c r="H24" s="5"/>
      <c r="I24" s="151">
        <v>0.7430555555555556</v>
      </c>
      <c r="J24" s="5"/>
      <c r="K24" s="6"/>
      <c r="L24" s="142">
        <v>0.0</v>
      </c>
      <c r="M24" s="142" t="s">
        <v>285</v>
      </c>
      <c r="N24" s="142">
        <v>-30.0</v>
      </c>
    </row>
    <row r="25">
      <c r="A25" s="149">
        <v>18.0</v>
      </c>
      <c r="B25" s="199" t="s">
        <v>20</v>
      </c>
      <c r="C25" s="147" t="s">
        <v>150</v>
      </c>
      <c r="D25" s="15"/>
      <c r="E25" s="15"/>
      <c r="F25" s="15"/>
      <c r="G25" s="15"/>
      <c r="H25" s="15"/>
      <c r="I25" s="15"/>
      <c r="J25" s="5"/>
      <c r="K25" s="6"/>
    </row>
    <row r="26">
      <c r="A26" s="149">
        <v>19.0</v>
      </c>
      <c r="B26" s="200" t="s">
        <v>21</v>
      </c>
      <c r="C26" s="147" t="s">
        <v>107</v>
      </c>
      <c r="D26" s="15"/>
      <c r="E26" s="15"/>
      <c r="F26" s="15"/>
      <c r="G26" s="15"/>
      <c r="H26" s="15"/>
      <c r="I26" s="15"/>
      <c r="J26" s="5"/>
      <c r="K26" s="127"/>
      <c r="N26" s="190" t="s">
        <v>162</v>
      </c>
    </row>
    <row r="27">
      <c r="A27" s="149">
        <v>20.0</v>
      </c>
      <c r="B27" s="200" t="s">
        <v>23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6"/>
    </row>
    <row r="28">
      <c r="A28" s="149">
        <v>21.0</v>
      </c>
      <c r="B28" s="199" t="s">
        <v>257</v>
      </c>
      <c r="C28" s="147" t="s">
        <v>150</v>
      </c>
      <c r="D28" s="15"/>
      <c r="E28" s="15"/>
      <c r="F28" s="15"/>
      <c r="G28" s="15"/>
      <c r="H28" s="15"/>
      <c r="I28" s="15"/>
      <c r="J28" s="5"/>
      <c r="K28" s="6"/>
      <c r="M28" s="183" t="s">
        <v>27</v>
      </c>
      <c r="N28" s="230">
        <v>0.030555555555555555</v>
      </c>
      <c r="O28" s="183" t="s">
        <v>286</v>
      </c>
    </row>
    <row r="29">
      <c r="A29" s="149">
        <v>22.0</v>
      </c>
      <c r="B29" s="200" t="s">
        <v>25</v>
      </c>
      <c r="C29" s="150">
        <v>0.34791666666666665</v>
      </c>
      <c r="D29" s="5"/>
      <c r="E29" s="151">
        <v>0.5</v>
      </c>
      <c r="F29" s="5"/>
      <c r="G29" s="151">
        <v>0.5416666666666666</v>
      </c>
      <c r="H29" s="5"/>
      <c r="I29" s="150">
        <v>0.7083333333333334</v>
      </c>
      <c r="J29" s="5"/>
      <c r="K29" s="6"/>
      <c r="L29" s="142">
        <v>0.0</v>
      </c>
      <c r="N29" s="142">
        <v>-30.0</v>
      </c>
    </row>
    <row r="30">
      <c r="A30" s="149">
        <v>23.0</v>
      </c>
      <c r="B30" s="200" t="s">
        <v>18</v>
      </c>
      <c r="C30" s="151">
        <v>0.34930555555555554</v>
      </c>
      <c r="D30" s="5"/>
      <c r="E30" s="151">
        <v>0.5076388888888889</v>
      </c>
      <c r="F30" s="5"/>
      <c r="G30" s="151">
        <v>0.5423611111111111</v>
      </c>
      <c r="H30" s="5"/>
      <c r="I30" s="151">
        <v>0.7083333333333334</v>
      </c>
      <c r="J30" s="5"/>
      <c r="K30" s="6"/>
      <c r="L30" s="142">
        <v>17.0</v>
      </c>
      <c r="N30" s="142">
        <v>-30.0</v>
      </c>
    </row>
    <row r="31">
      <c r="A31" s="149">
        <v>24.0</v>
      </c>
      <c r="B31" s="199" t="s">
        <v>26</v>
      </c>
      <c r="C31" s="150">
        <v>0.35138888888888886</v>
      </c>
      <c r="D31" s="5"/>
      <c r="E31" s="150">
        <v>0.5</v>
      </c>
      <c r="F31" s="5"/>
      <c r="G31" s="150">
        <v>0.5416666666666666</v>
      </c>
      <c r="H31" s="5"/>
      <c r="I31" s="150">
        <v>0.7076388888888889</v>
      </c>
      <c r="J31" s="5"/>
      <c r="K31" s="6"/>
      <c r="L31" s="142">
        <v>0.0</v>
      </c>
      <c r="N31" s="142">
        <v>-30.0</v>
      </c>
    </row>
    <row r="32">
      <c r="A32" s="149">
        <v>25.0</v>
      </c>
      <c r="B32" s="200" t="s">
        <v>20</v>
      </c>
      <c r="C32" s="150">
        <v>0.36041666666666666</v>
      </c>
      <c r="D32" s="5"/>
      <c r="E32" s="150">
        <v>0.5</v>
      </c>
      <c r="F32" s="5"/>
      <c r="G32" s="150">
        <v>0.5409722222222222</v>
      </c>
      <c r="H32" s="5"/>
      <c r="I32" s="150">
        <v>0.7083333333333334</v>
      </c>
      <c r="J32" s="5"/>
      <c r="K32" s="6"/>
      <c r="L32" s="142">
        <v>-8.0</v>
      </c>
      <c r="N32" s="142">
        <v>-30.0</v>
      </c>
    </row>
    <row r="33">
      <c r="A33" s="149">
        <v>26.0</v>
      </c>
      <c r="B33" s="200" t="s">
        <v>21</v>
      </c>
      <c r="C33" s="150">
        <v>0.33194444444444443</v>
      </c>
      <c r="D33" s="5"/>
      <c r="E33" s="147" t="s">
        <v>103</v>
      </c>
      <c r="F33" s="5"/>
      <c r="G33" s="147" t="s">
        <v>103</v>
      </c>
      <c r="H33" s="5"/>
      <c r="I33" s="150">
        <v>0.49722222222222223</v>
      </c>
      <c r="J33" s="5"/>
      <c r="K33" s="6"/>
      <c r="L33" s="142">
        <v>0.0</v>
      </c>
    </row>
    <row r="34">
      <c r="A34" s="149">
        <v>27.0</v>
      </c>
      <c r="B34" s="203" t="s">
        <v>23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6"/>
      <c r="N34" s="45"/>
      <c r="O34" s="44"/>
      <c r="P34" s="45"/>
      <c r="Q34" s="44"/>
      <c r="R34" s="44"/>
      <c r="S34" s="45"/>
      <c r="T34" s="45"/>
      <c r="U34" s="44"/>
      <c r="V34" s="13"/>
    </row>
    <row r="35">
      <c r="A35" s="149">
        <v>28.0</v>
      </c>
      <c r="B35" s="200" t="s">
        <v>257</v>
      </c>
      <c r="C35" s="151">
        <v>0.35138888888888886</v>
      </c>
      <c r="D35" s="5"/>
      <c r="E35" s="151">
        <v>0.5</v>
      </c>
      <c r="F35" s="5"/>
      <c r="G35" s="151">
        <v>0.5416666666666666</v>
      </c>
      <c r="H35" s="5"/>
      <c r="I35" s="151">
        <v>0.7090277777777778</v>
      </c>
      <c r="J35" s="5"/>
      <c r="L35" s="142">
        <v>0.0</v>
      </c>
      <c r="M35" s="124"/>
      <c r="N35" s="29">
        <v>-30.0</v>
      </c>
      <c r="O35" s="13"/>
      <c r="P35" s="13"/>
      <c r="Q35" s="13"/>
      <c r="R35" s="13"/>
      <c r="S35" s="13"/>
      <c r="T35" s="13"/>
      <c r="U35" s="13"/>
      <c r="V35" s="13"/>
    </row>
    <row r="36">
      <c r="A36" s="163">
        <v>29.0</v>
      </c>
      <c r="B36" s="200" t="s">
        <v>25</v>
      </c>
      <c r="C36" s="151">
        <v>0.3506944444444444</v>
      </c>
      <c r="D36" s="5"/>
      <c r="E36" s="151">
        <v>0.5</v>
      </c>
      <c r="F36" s="5"/>
      <c r="G36" s="151">
        <v>0.5416666666666666</v>
      </c>
      <c r="H36" s="5"/>
      <c r="I36" s="151">
        <v>0.7083333333333334</v>
      </c>
      <c r="J36" s="5"/>
      <c r="K36" s="6"/>
      <c r="L36" s="142">
        <v>0.0</v>
      </c>
      <c r="N36" s="142">
        <v>-30.0</v>
      </c>
    </row>
    <row r="37">
      <c r="A37" s="163">
        <v>30.0</v>
      </c>
      <c r="B37" s="200" t="s">
        <v>18</v>
      </c>
      <c r="C37" s="151">
        <v>0.34930555555555554</v>
      </c>
      <c r="D37" s="5"/>
      <c r="E37" s="151">
        <v>0.5</v>
      </c>
      <c r="F37" s="5"/>
      <c r="G37" s="151">
        <v>0.5416666666666666</v>
      </c>
      <c r="H37" s="5"/>
      <c r="I37" s="151">
        <v>0.7083333333333334</v>
      </c>
      <c r="J37" s="5"/>
      <c r="K37" s="6"/>
      <c r="L37" s="142">
        <v>0.0</v>
      </c>
      <c r="N37" s="142">
        <v>-30.0</v>
      </c>
      <c r="P37" s="41">
        <v>0.7027777777777777</v>
      </c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M38" s="183" t="s">
        <v>27</v>
      </c>
      <c r="N38" s="231">
        <v>53.0</v>
      </c>
      <c r="O38" s="183" t="s">
        <v>287</v>
      </c>
    </row>
    <row r="39">
      <c r="A39" s="107" t="s">
        <v>288</v>
      </c>
      <c r="B39" s="15"/>
      <c r="C39" s="15"/>
      <c r="D39" s="15"/>
      <c r="E39" s="15"/>
      <c r="F39" s="15"/>
      <c r="G39" s="15"/>
      <c r="H39" s="15"/>
      <c r="I39" s="15"/>
      <c r="J39" s="5"/>
      <c r="K39" s="6"/>
    </row>
    <row r="40">
      <c r="A40" s="107" t="s">
        <v>289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32" t="s">
        <v>290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D44" s="137"/>
      <c r="F44" s="137"/>
      <c r="H44" s="137"/>
      <c r="I44" s="137"/>
      <c r="J44" s="138"/>
      <c r="K44" s="6"/>
      <c r="O44" s="157">
        <f>60-23</f>
        <v>37</v>
      </c>
    </row>
    <row r="45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36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C25:J25"/>
    <mergeCell ref="C26:J26"/>
    <mergeCell ref="C27:D27"/>
    <mergeCell ref="I27:J27"/>
    <mergeCell ref="C28:J28"/>
    <mergeCell ref="C29:D29"/>
    <mergeCell ref="E29:F29"/>
    <mergeCell ref="G29:H29"/>
    <mergeCell ref="I29:J29"/>
    <mergeCell ref="C30:D30"/>
    <mergeCell ref="I30:J30"/>
    <mergeCell ref="E32:F32"/>
    <mergeCell ref="G32:H32"/>
    <mergeCell ref="E30:F30"/>
    <mergeCell ref="G30:H30"/>
    <mergeCell ref="C31:D31"/>
    <mergeCell ref="E31:F31"/>
    <mergeCell ref="G31:H31"/>
    <mergeCell ref="I31:J31"/>
    <mergeCell ref="I32:J32"/>
    <mergeCell ref="G34:H34"/>
    <mergeCell ref="I34:J34"/>
    <mergeCell ref="C32:D32"/>
    <mergeCell ref="C33:D33"/>
    <mergeCell ref="E33:F33"/>
    <mergeCell ref="G33:H33"/>
    <mergeCell ref="I33:J33"/>
    <mergeCell ref="C34:D34"/>
    <mergeCell ref="E34:F34"/>
    <mergeCell ref="D44:E44"/>
    <mergeCell ref="F44:G44"/>
    <mergeCell ref="D45:E45"/>
    <mergeCell ref="F45:G45"/>
    <mergeCell ref="A38:J38"/>
    <mergeCell ref="A39:J39"/>
    <mergeCell ref="A40:J40"/>
    <mergeCell ref="A41:J41"/>
    <mergeCell ref="F42:G42"/>
    <mergeCell ref="D43:E43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E27:F27"/>
    <mergeCell ref="G27:H27"/>
    <mergeCell ref="C36:D36"/>
    <mergeCell ref="C37:D37"/>
    <mergeCell ref="E37:F37"/>
    <mergeCell ref="G37:H37"/>
    <mergeCell ref="I37:J37"/>
    <mergeCell ref="C35:D35"/>
    <mergeCell ref="E35:F35"/>
    <mergeCell ref="G35:H35"/>
    <mergeCell ref="I35:J35"/>
    <mergeCell ref="E36:F36"/>
    <mergeCell ref="G36:H36"/>
    <mergeCell ref="I36:J36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55.0"/>
    <col customWidth="1" min="15" max="15" width="10.13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52</v>
      </c>
      <c r="C5" s="15"/>
      <c r="D5" s="15"/>
      <c r="E5" s="5"/>
      <c r="F5" s="177" t="s">
        <v>9</v>
      </c>
      <c r="G5" s="178"/>
      <c r="H5" s="179"/>
      <c r="I5" s="179"/>
      <c r="J5" s="179"/>
      <c r="K5" s="6"/>
    </row>
    <row r="6">
      <c r="A6" s="172" t="s">
        <v>10</v>
      </c>
      <c r="B6" s="176" t="s">
        <v>283</v>
      </c>
      <c r="C6" s="15"/>
      <c r="D6" s="15"/>
      <c r="E6" s="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199" t="s">
        <v>25</v>
      </c>
      <c r="C8" s="150">
        <v>0.3486111111111111</v>
      </c>
      <c r="D8" s="5"/>
      <c r="E8" s="151">
        <v>0.5458333333333333</v>
      </c>
      <c r="F8" s="5"/>
      <c r="G8" s="151">
        <v>0.5909722222222222</v>
      </c>
      <c r="H8" s="5"/>
      <c r="I8" s="151">
        <v>0.7451388888888889</v>
      </c>
      <c r="J8" s="5"/>
      <c r="K8" s="6"/>
      <c r="L8" s="142">
        <v>0.0</v>
      </c>
    </row>
    <row r="9">
      <c r="A9" s="149">
        <v>2.0</v>
      </c>
      <c r="B9" s="200" t="s">
        <v>284</v>
      </c>
      <c r="C9" s="151">
        <v>0.35</v>
      </c>
      <c r="D9" s="5"/>
      <c r="E9" s="151">
        <v>0.5458333333333333</v>
      </c>
      <c r="F9" s="5"/>
      <c r="G9" s="151">
        <v>0.5909722222222222</v>
      </c>
      <c r="H9" s="5"/>
      <c r="I9" s="151">
        <v>0.7486111111111111</v>
      </c>
      <c r="J9" s="5"/>
      <c r="K9" s="6"/>
      <c r="L9" s="142">
        <v>0.0</v>
      </c>
    </row>
    <row r="10">
      <c r="A10" s="149">
        <v>3.0</v>
      </c>
      <c r="B10" s="201" t="s">
        <v>19</v>
      </c>
      <c r="C10" s="150">
        <v>0.34930555555555554</v>
      </c>
      <c r="D10" s="5"/>
      <c r="E10" s="150">
        <v>0.5520833333333334</v>
      </c>
      <c r="F10" s="5"/>
      <c r="G10" s="150">
        <v>0.5972222222222222</v>
      </c>
      <c r="H10" s="5"/>
      <c r="I10" s="150">
        <v>0.7465277777777778</v>
      </c>
      <c r="J10" s="5"/>
      <c r="K10" s="6"/>
      <c r="L10" s="142">
        <v>0.0</v>
      </c>
    </row>
    <row r="11">
      <c r="A11" s="149">
        <v>4.0</v>
      </c>
      <c r="B11" s="199" t="s">
        <v>20</v>
      </c>
      <c r="C11" s="150">
        <v>0.35</v>
      </c>
      <c r="D11" s="5"/>
      <c r="E11" s="150">
        <v>0.5513888888888889</v>
      </c>
      <c r="F11" s="5"/>
      <c r="G11" s="150">
        <v>0.5979166666666667</v>
      </c>
      <c r="H11" s="5"/>
      <c r="I11" s="150">
        <v>0.75</v>
      </c>
      <c r="J11" s="5"/>
      <c r="K11" s="6"/>
      <c r="L11" s="142">
        <v>0.0</v>
      </c>
    </row>
    <row r="12">
      <c r="A12" s="149">
        <v>5.0</v>
      </c>
      <c r="B12" s="201" t="s">
        <v>21</v>
      </c>
      <c r="C12" s="150">
        <v>0.3277777777777778</v>
      </c>
      <c r="D12" s="5"/>
      <c r="E12" s="147" t="s">
        <v>103</v>
      </c>
      <c r="F12" s="5"/>
      <c r="G12" s="147" t="s">
        <v>103</v>
      </c>
      <c r="H12" s="5"/>
      <c r="I12" s="150">
        <v>0.5006944444444444</v>
      </c>
      <c r="J12" s="5"/>
      <c r="K12" s="6"/>
      <c r="L12" s="142">
        <v>9.0</v>
      </c>
    </row>
    <row r="13">
      <c r="A13" s="149">
        <v>6.0</v>
      </c>
      <c r="B13" s="201" t="s">
        <v>23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6"/>
    </row>
    <row r="14">
      <c r="A14" s="149">
        <v>7.0</v>
      </c>
      <c r="B14" s="201" t="s">
        <v>257</v>
      </c>
      <c r="C14" s="150">
        <v>0.3506944444444444</v>
      </c>
      <c r="D14" s="5"/>
      <c r="E14" s="150">
        <v>0.5479166666666667</v>
      </c>
      <c r="F14" s="5"/>
      <c r="G14" s="150">
        <v>0.5951388888888889</v>
      </c>
      <c r="H14" s="5"/>
      <c r="I14" s="150">
        <v>0.7534722222222222</v>
      </c>
      <c r="J14" s="5"/>
      <c r="K14" s="6"/>
      <c r="L14" s="142">
        <v>7.0</v>
      </c>
    </row>
    <row r="15">
      <c r="A15" s="149">
        <v>8.0</v>
      </c>
      <c r="B15" s="199" t="s">
        <v>25</v>
      </c>
      <c r="C15" s="150">
        <v>0.3486111111111111</v>
      </c>
      <c r="D15" s="5"/>
      <c r="E15" s="151">
        <v>0.55</v>
      </c>
      <c r="F15" s="5"/>
      <c r="G15" s="151">
        <v>0.5951388888888889</v>
      </c>
      <c r="H15" s="5"/>
      <c r="I15" s="151">
        <v>0.7451388888888889</v>
      </c>
      <c r="J15" s="5"/>
      <c r="K15" s="6"/>
      <c r="L15" s="142">
        <v>0.0</v>
      </c>
    </row>
    <row r="16">
      <c r="A16" s="149">
        <v>9.0</v>
      </c>
      <c r="B16" s="200" t="s">
        <v>18</v>
      </c>
      <c r="C16" s="151">
        <v>0.34930555555555554</v>
      </c>
      <c r="D16" s="5"/>
      <c r="E16" s="151">
        <v>0.5569444444444445</v>
      </c>
      <c r="F16" s="5"/>
      <c r="G16" s="151">
        <v>0.6013888888888889</v>
      </c>
      <c r="H16" s="5"/>
      <c r="I16" s="151">
        <v>0.7486111111111111</v>
      </c>
      <c r="J16" s="5"/>
      <c r="K16" s="6"/>
      <c r="L16" s="142">
        <v>7.0</v>
      </c>
    </row>
    <row r="17">
      <c r="A17" s="149">
        <v>10.0</v>
      </c>
      <c r="B17" s="201" t="s">
        <v>26</v>
      </c>
      <c r="C17" s="150">
        <v>0.3506944444444444</v>
      </c>
      <c r="D17" s="5"/>
      <c r="E17" s="150">
        <v>0.5284722222222222</v>
      </c>
      <c r="F17" s="5"/>
      <c r="G17" s="150">
        <v>0.6027777777777777</v>
      </c>
      <c r="H17" s="5"/>
      <c r="I17" s="150">
        <v>0.7451388888888889</v>
      </c>
      <c r="J17" s="5"/>
      <c r="K17" s="6"/>
      <c r="L17" s="232" t="s">
        <v>62</v>
      </c>
      <c r="M17" s="142">
        <v>0.0</v>
      </c>
      <c r="N17" s="142" t="s">
        <v>183</v>
      </c>
      <c r="P17" s="142">
        <v>24.0</v>
      </c>
    </row>
    <row r="18">
      <c r="A18" s="149">
        <v>11.0</v>
      </c>
      <c r="B18" s="199" t="s">
        <v>20</v>
      </c>
      <c r="C18" s="150">
        <v>0.35138888888888886</v>
      </c>
      <c r="D18" s="5"/>
      <c r="E18" s="150">
        <v>0.5506944444444445</v>
      </c>
      <c r="F18" s="5"/>
      <c r="G18" s="150">
        <v>0.5986111111111111</v>
      </c>
      <c r="H18" s="5"/>
      <c r="I18" s="150">
        <v>0.7479166666666667</v>
      </c>
      <c r="J18" s="5"/>
      <c r="K18" s="6"/>
      <c r="L18" s="142">
        <v>0.0</v>
      </c>
    </row>
    <row r="19">
      <c r="A19" s="149">
        <v>12.0</v>
      </c>
      <c r="B19" s="200" t="s">
        <v>21</v>
      </c>
      <c r="C19" s="150">
        <v>0.3284722222222222</v>
      </c>
      <c r="D19" s="5"/>
      <c r="E19" s="147" t="s">
        <v>103</v>
      </c>
      <c r="F19" s="5"/>
      <c r="G19" s="147" t="s">
        <v>103</v>
      </c>
      <c r="H19" s="5"/>
      <c r="I19" s="150">
        <v>0.5048611111111111</v>
      </c>
      <c r="J19" s="5"/>
      <c r="K19" s="6"/>
      <c r="L19" s="229">
        <v>14.0</v>
      </c>
    </row>
    <row r="20">
      <c r="A20" s="149">
        <v>13.0</v>
      </c>
      <c r="B20" s="200" t="s">
        <v>23</v>
      </c>
      <c r="C20" s="147" t="s">
        <v>103</v>
      </c>
      <c r="D20" s="5"/>
      <c r="E20" s="147" t="s">
        <v>103</v>
      </c>
      <c r="F20" s="5"/>
      <c r="G20" s="147" t="s">
        <v>103</v>
      </c>
      <c r="H20" s="5"/>
      <c r="I20" s="147" t="s">
        <v>103</v>
      </c>
      <c r="J20" s="5"/>
      <c r="K20" s="6"/>
    </row>
    <row r="21">
      <c r="A21" s="149">
        <v>14.0</v>
      </c>
      <c r="B21" s="201" t="s">
        <v>257</v>
      </c>
      <c r="C21" s="150">
        <v>0.35694444444444445</v>
      </c>
      <c r="D21" s="5"/>
      <c r="E21" s="150">
        <v>0.5486111111111112</v>
      </c>
      <c r="F21" s="5"/>
      <c r="G21" s="150">
        <v>0.5958333333333333</v>
      </c>
      <c r="H21" s="5"/>
      <c r="I21" s="150">
        <v>0.75</v>
      </c>
      <c r="J21" s="5"/>
      <c r="K21" s="6"/>
      <c r="L21" s="142">
        <v>-7.0</v>
      </c>
    </row>
    <row r="22">
      <c r="A22" s="149">
        <v>15.0</v>
      </c>
      <c r="B22" s="199" t="s">
        <v>25</v>
      </c>
      <c r="C22" s="150">
        <v>0.3506944444444444</v>
      </c>
      <c r="D22" s="5"/>
      <c r="E22" s="151">
        <v>0.5555555555555556</v>
      </c>
      <c r="F22" s="5"/>
      <c r="G22" s="151">
        <v>0.6020833333333333</v>
      </c>
      <c r="H22" s="5"/>
      <c r="I22" s="150">
        <v>0.7479166666666667</v>
      </c>
      <c r="J22" s="5"/>
      <c r="K22" s="6"/>
      <c r="L22" s="142">
        <v>0.0</v>
      </c>
    </row>
    <row r="23">
      <c r="A23" s="149">
        <v>16.0</v>
      </c>
      <c r="B23" s="200" t="s">
        <v>18</v>
      </c>
      <c r="C23" s="151">
        <v>0.35138888888888886</v>
      </c>
      <c r="D23" s="5"/>
      <c r="E23" s="151">
        <v>0.5451388888888888</v>
      </c>
      <c r="F23" s="5"/>
      <c r="G23" s="151">
        <v>0.5902777777777778</v>
      </c>
      <c r="H23" s="5"/>
      <c r="I23" s="151">
        <v>0.7458333333333333</v>
      </c>
      <c r="J23" s="5"/>
      <c r="K23" s="6"/>
      <c r="L23" s="142">
        <v>0.0</v>
      </c>
    </row>
    <row r="24">
      <c r="A24" s="149">
        <v>17.0</v>
      </c>
      <c r="B24" s="201" t="s">
        <v>26</v>
      </c>
      <c r="C24" s="150">
        <v>0.35208333333333336</v>
      </c>
      <c r="D24" s="5"/>
      <c r="E24" s="150">
        <v>0.5451388888888888</v>
      </c>
      <c r="F24" s="5"/>
      <c r="G24" s="150">
        <v>0.5930555555555556</v>
      </c>
      <c r="H24" s="5"/>
      <c r="I24" s="150">
        <v>0.7486111111111111</v>
      </c>
      <c r="J24" s="5"/>
      <c r="K24" s="6"/>
      <c r="L24" s="142">
        <v>0.0</v>
      </c>
      <c r="M24" s="142" t="s">
        <v>190</v>
      </c>
      <c r="P24" s="142">
        <v>31.0</v>
      </c>
    </row>
    <row r="25">
      <c r="A25" s="149">
        <v>18.0</v>
      </c>
      <c r="B25" s="199" t="s">
        <v>20</v>
      </c>
      <c r="C25" s="147" t="s">
        <v>150</v>
      </c>
      <c r="D25" s="15"/>
      <c r="E25" s="15"/>
      <c r="F25" s="15"/>
      <c r="G25" s="15"/>
      <c r="H25" s="15"/>
      <c r="I25" s="15"/>
      <c r="J25" s="5"/>
      <c r="K25" s="6"/>
    </row>
    <row r="26">
      <c r="A26" s="149">
        <v>19.0</v>
      </c>
      <c r="B26" s="200" t="s">
        <v>21</v>
      </c>
      <c r="C26" s="147" t="s">
        <v>103</v>
      </c>
      <c r="D26" s="5"/>
      <c r="E26" s="147" t="s">
        <v>103</v>
      </c>
      <c r="F26" s="5"/>
      <c r="G26" s="147" t="s">
        <v>103</v>
      </c>
      <c r="H26" s="5"/>
      <c r="I26" s="147" t="s">
        <v>103</v>
      </c>
      <c r="J26" s="5"/>
      <c r="K26" s="127"/>
    </row>
    <row r="27">
      <c r="A27" s="149">
        <v>20.0</v>
      </c>
      <c r="B27" s="200" t="s">
        <v>23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6"/>
    </row>
    <row r="28">
      <c r="A28" s="149">
        <v>21.0</v>
      </c>
      <c r="B28" s="199" t="s">
        <v>257</v>
      </c>
      <c r="C28" s="147" t="s">
        <v>150</v>
      </c>
      <c r="D28" s="15"/>
      <c r="E28" s="15"/>
      <c r="F28" s="15"/>
      <c r="G28" s="15"/>
      <c r="H28" s="15"/>
      <c r="I28" s="15"/>
      <c r="J28" s="5"/>
      <c r="K28" s="6"/>
    </row>
    <row r="29">
      <c r="A29" s="149">
        <v>22.0</v>
      </c>
      <c r="B29" s="200" t="s">
        <v>25</v>
      </c>
      <c r="C29" s="150">
        <v>0.34791666666666665</v>
      </c>
      <c r="D29" s="5"/>
      <c r="E29" s="151">
        <v>0.5520833333333334</v>
      </c>
      <c r="F29" s="5"/>
      <c r="G29" s="151">
        <v>0.5972222222222222</v>
      </c>
      <c r="H29" s="5"/>
      <c r="I29" s="150">
        <v>0.7493055555555556</v>
      </c>
      <c r="J29" s="5"/>
      <c r="K29" s="6"/>
      <c r="L29" s="142">
        <v>8.0</v>
      </c>
    </row>
    <row r="30">
      <c r="A30" s="149">
        <v>23.0</v>
      </c>
      <c r="B30" s="200" t="s">
        <v>18</v>
      </c>
      <c r="C30" s="151">
        <v>0.34930555555555554</v>
      </c>
      <c r="D30" s="5"/>
      <c r="E30" s="151">
        <v>0.5652777777777778</v>
      </c>
      <c r="F30" s="5"/>
      <c r="G30" s="151">
        <v>0.6111111111111112</v>
      </c>
      <c r="H30" s="5"/>
      <c r="I30" s="151">
        <v>0.7534722222222222</v>
      </c>
      <c r="J30" s="5"/>
      <c r="K30" s="6"/>
      <c r="L30" s="142">
        <v>11.0</v>
      </c>
    </row>
    <row r="31">
      <c r="A31" s="149">
        <v>24.0</v>
      </c>
      <c r="B31" s="199" t="s">
        <v>26</v>
      </c>
      <c r="C31" s="150">
        <v>0.3506944444444444</v>
      </c>
      <c r="D31" s="5"/>
      <c r="E31" s="150">
        <v>0.5611111111111111</v>
      </c>
      <c r="F31" s="5"/>
      <c r="G31" s="150">
        <v>0.6083333333333333</v>
      </c>
      <c r="H31" s="5"/>
      <c r="I31" s="150">
        <v>0.7444444444444445</v>
      </c>
      <c r="J31" s="5"/>
      <c r="K31" s="6"/>
      <c r="L31" s="142">
        <v>-6.0</v>
      </c>
    </row>
    <row r="32">
      <c r="A32" s="149">
        <v>25.0</v>
      </c>
      <c r="B32" s="200" t="s">
        <v>20</v>
      </c>
      <c r="C32" s="150">
        <v>0.3659722222222222</v>
      </c>
      <c r="D32" s="5"/>
      <c r="E32" s="150">
        <v>0.56875</v>
      </c>
      <c r="F32" s="5"/>
      <c r="G32" s="150">
        <v>0.6131944444444445</v>
      </c>
      <c r="H32" s="5"/>
      <c r="I32" s="150">
        <v>0.7458333333333333</v>
      </c>
      <c r="J32" s="5"/>
      <c r="K32" s="6"/>
      <c r="L32" s="142">
        <v>-22.0</v>
      </c>
    </row>
    <row r="33">
      <c r="A33" s="149">
        <v>26.0</v>
      </c>
      <c r="B33" s="200" t="s">
        <v>21</v>
      </c>
      <c r="C33" s="147" t="s">
        <v>103</v>
      </c>
      <c r="D33" s="5"/>
      <c r="E33" s="147" t="s">
        <v>103</v>
      </c>
      <c r="F33" s="5"/>
      <c r="G33" s="147" t="s">
        <v>103</v>
      </c>
      <c r="H33" s="5"/>
      <c r="I33" s="147" t="s">
        <v>103</v>
      </c>
      <c r="J33" s="5"/>
      <c r="K33" s="6"/>
    </row>
    <row r="34">
      <c r="A34" s="149">
        <v>27.0</v>
      </c>
      <c r="B34" s="203" t="s">
        <v>23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6"/>
      <c r="N34" s="45"/>
      <c r="O34" s="44"/>
      <c r="P34" s="45"/>
      <c r="Q34" s="44"/>
      <c r="R34" s="44"/>
      <c r="S34" s="45"/>
      <c r="T34" s="45"/>
      <c r="U34" s="44"/>
      <c r="V34" s="13"/>
    </row>
    <row r="35">
      <c r="A35" s="149">
        <v>28.0</v>
      </c>
      <c r="B35" s="200" t="s">
        <v>257</v>
      </c>
      <c r="C35" s="150">
        <v>0.35138888888888886</v>
      </c>
      <c r="D35" s="5"/>
      <c r="E35" s="150">
        <v>0.5520833333333334</v>
      </c>
      <c r="F35" s="5"/>
      <c r="G35" s="150">
        <v>0.5979166666666667</v>
      </c>
      <c r="H35" s="5"/>
      <c r="I35" s="150">
        <v>0.7458333333333333</v>
      </c>
      <c r="J35" s="5"/>
      <c r="L35" s="142">
        <v>0.0</v>
      </c>
      <c r="M35" s="124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63">
        <v>29.0</v>
      </c>
      <c r="B36" s="200" t="s">
        <v>25</v>
      </c>
      <c r="C36" s="151">
        <v>0.3506944444444444</v>
      </c>
      <c r="D36" s="5"/>
      <c r="E36" s="151">
        <v>0.5555555555555556</v>
      </c>
      <c r="F36" s="5"/>
      <c r="G36" s="151">
        <v>0.5993055555555555</v>
      </c>
      <c r="H36" s="5"/>
      <c r="I36" s="151">
        <v>0.7451388888888889</v>
      </c>
      <c r="J36" s="5"/>
      <c r="K36" s="6"/>
      <c r="L36" s="142">
        <v>0.0</v>
      </c>
    </row>
    <row r="37">
      <c r="A37" s="163">
        <v>30.0</v>
      </c>
      <c r="B37" s="200" t="s">
        <v>18</v>
      </c>
      <c r="C37" s="151">
        <v>0.3486111111111111</v>
      </c>
      <c r="D37" s="5"/>
      <c r="E37" s="151">
        <v>0.5520833333333334</v>
      </c>
      <c r="F37" s="5"/>
      <c r="G37" s="151">
        <v>0.5965277777777778</v>
      </c>
      <c r="H37" s="5"/>
      <c r="I37" s="151">
        <v>0.7513888888888889</v>
      </c>
      <c r="J37" s="5"/>
      <c r="K37" s="6"/>
      <c r="L37" s="142">
        <v>10.0</v>
      </c>
      <c r="M37" s="183" t="s">
        <v>27</v>
      </c>
      <c r="N37" s="183">
        <v>-28.0</v>
      </c>
      <c r="O37" s="231">
        <v>50.0</v>
      </c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</row>
    <row r="39">
      <c r="A39" s="107" t="s">
        <v>291</v>
      </c>
      <c r="B39" s="15"/>
      <c r="C39" s="15"/>
      <c r="D39" s="15"/>
      <c r="E39" s="15"/>
      <c r="F39" s="15"/>
      <c r="G39" s="15"/>
      <c r="H39" s="15"/>
      <c r="I39" s="15"/>
      <c r="J39" s="5"/>
      <c r="K39" s="6"/>
    </row>
    <row r="40">
      <c r="A40" s="107" t="s">
        <v>292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32" t="s">
        <v>293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>
      <c r="A43" s="139" t="s">
        <v>36</v>
      </c>
      <c r="B43" s="137"/>
      <c r="C43" s="140" t="s">
        <v>37</v>
      </c>
      <c r="D43" s="137"/>
      <c r="F43" s="137"/>
      <c r="H43" s="137"/>
      <c r="I43" s="137"/>
      <c r="J43" s="138"/>
      <c r="K43" s="6"/>
    </row>
    <row r="44">
      <c r="A44" s="58"/>
      <c r="B44" s="59"/>
      <c r="C44" s="59"/>
      <c r="D44" s="59"/>
      <c r="E44" s="11"/>
      <c r="F44" s="59"/>
      <c r="G44" s="11"/>
      <c r="H44" s="59"/>
      <c r="I44" s="59"/>
      <c r="J44" s="60"/>
      <c r="K44" s="6"/>
    </row>
  </sheetData>
  <mergeCells count="13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6:H26"/>
    <mergeCell ref="I26:J26"/>
    <mergeCell ref="C24:D24"/>
    <mergeCell ref="E24:F24"/>
    <mergeCell ref="G24:H24"/>
    <mergeCell ref="I24:J24"/>
    <mergeCell ref="C25:J25"/>
    <mergeCell ref="C26:D26"/>
    <mergeCell ref="E26:F26"/>
    <mergeCell ref="C34:D34"/>
    <mergeCell ref="E34:F34"/>
    <mergeCell ref="G34:H34"/>
    <mergeCell ref="I34:J34"/>
    <mergeCell ref="E35:F35"/>
    <mergeCell ref="G35:H35"/>
    <mergeCell ref="I35:J35"/>
    <mergeCell ref="C35:D35"/>
    <mergeCell ref="C36:D36"/>
    <mergeCell ref="E36:F36"/>
    <mergeCell ref="G36:H36"/>
    <mergeCell ref="I36:J36"/>
    <mergeCell ref="C37:D37"/>
    <mergeCell ref="E37:F37"/>
    <mergeCell ref="G29:H29"/>
    <mergeCell ref="I29:J29"/>
    <mergeCell ref="C27:D27"/>
    <mergeCell ref="E27:F27"/>
    <mergeCell ref="G27:H27"/>
    <mergeCell ref="I27:J27"/>
    <mergeCell ref="C28:J28"/>
    <mergeCell ref="C29:D29"/>
    <mergeCell ref="E29:F29"/>
    <mergeCell ref="C30:D30"/>
    <mergeCell ref="E30:F30"/>
    <mergeCell ref="G30:H30"/>
    <mergeCell ref="I30:J30"/>
    <mergeCell ref="E31:F31"/>
    <mergeCell ref="G31:H31"/>
    <mergeCell ref="I31:J31"/>
    <mergeCell ref="G33:H33"/>
    <mergeCell ref="I33:J33"/>
    <mergeCell ref="C31:D31"/>
    <mergeCell ref="C32:D32"/>
    <mergeCell ref="E32:F32"/>
    <mergeCell ref="G32:H32"/>
    <mergeCell ref="I32:J32"/>
    <mergeCell ref="C33:D33"/>
    <mergeCell ref="E33:F33"/>
    <mergeCell ref="G37:H37"/>
    <mergeCell ref="I37:J37"/>
    <mergeCell ref="D44:E44"/>
    <mergeCell ref="F44:G44"/>
    <mergeCell ref="A38:J38"/>
    <mergeCell ref="A39:J39"/>
    <mergeCell ref="A40:J40"/>
    <mergeCell ref="A41:J41"/>
    <mergeCell ref="F42:G42"/>
    <mergeCell ref="D43:E43"/>
    <mergeCell ref="F43:G43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8.38"/>
    <col customWidth="1" min="15" max="15" width="11.88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250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52</v>
      </c>
      <c r="C5" s="15"/>
      <c r="D5" s="15"/>
      <c r="E5" s="5"/>
      <c r="F5" s="177" t="s">
        <v>66</v>
      </c>
      <c r="G5" s="178"/>
      <c r="H5" s="179"/>
      <c r="I5" s="179"/>
      <c r="J5" s="179"/>
      <c r="K5" s="6"/>
    </row>
    <row r="6">
      <c r="A6" s="172" t="s">
        <v>10</v>
      </c>
      <c r="B6" s="176" t="s">
        <v>283</v>
      </c>
      <c r="C6" s="15"/>
      <c r="D6" s="15"/>
      <c r="E6" s="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199" t="s">
        <v>25</v>
      </c>
      <c r="C8" s="147" t="s">
        <v>103</v>
      </c>
      <c r="D8" s="5"/>
      <c r="E8" s="181" t="s">
        <v>103</v>
      </c>
      <c r="F8" s="5"/>
      <c r="G8" s="181" t="s">
        <v>103</v>
      </c>
      <c r="H8" s="5"/>
      <c r="I8" s="181" t="s">
        <v>103</v>
      </c>
      <c r="J8" s="5"/>
      <c r="K8" s="6"/>
    </row>
    <row r="9">
      <c r="A9" s="149">
        <v>2.0</v>
      </c>
      <c r="B9" s="200" t="s">
        <v>284</v>
      </c>
      <c r="C9" s="151">
        <v>0.3527777777777778</v>
      </c>
      <c r="D9" s="5"/>
      <c r="E9" s="151">
        <v>0.5229166666666667</v>
      </c>
      <c r="F9" s="5"/>
      <c r="G9" s="181" t="s">
        <v>103</v>
      </c>
      <c r="H9" s="5"/>
      <c r="I9" s="151">
        <v>0.7486111111111111</v>
      </c>
      <c r="J9" s="5"/>
      <c r="K9" s="6"/>
      <c r="L9" s="142">
        <v>0.0</v>
      </c>
      <c r="M9" s="142">
        <v>30.0</v>
      </c>
    </row>
    <row r="10">
      <c r="A10" s="149">
        <v>3.0</v>
      </c>
      <c r="B10" s="201" t="s">
        <v>19</v>
      </c>
      <c r="C10" s="150">
        <v>0.3527777777777778</v>
      </c>
      <c r="D10" s="5"/>
      <c r="E10" s="150">
        <v>0.5020833333333333</v>
      </c>
      <c r="F10" s="5"/>
      <c r="G10" s="150">
        <v>0.5444444444444444</v>
      </c>
      <c r="H10" s="5"/>
      <c r="I10" s="150">
        <v>0.7465277777777778</v>
      </c>
      <c r="J10" s="5"/>
      <c r="K10" s="6"/>
      <c r="L10" s="142">
        <v>0.0</v>
      </c>
      <c r="M10" s="142">
        <v>30.0</v>
      </c>
    </row>
    <row r="11">
      <c r="A11" s="149">
        <v>4.0</v>
      </c>
      <c r="B11" s="199" t="s">
        <v>20</v>
      </c>
      <c r="C11" s="150">
        <v>0.36319444444444443</v>
      </c>
      <c r="D11" s="5"/>
      <c r="E11" s="150">
        <v>0.5006944444444444</v>
      </c>
      <c r="F11" s="5"/>
      <c r="G11" s="150">
        <v>0.5416666666666666</v>
      </c>
      <c r="H11" s="5"/>
      <c r="I11" s="150">
        <v>0.75</v>
      </c>
      <c r="J11" s="5"/>
      <c r="K11" s="6"/>
      <c r="L11" s="142">
        <v>-12.0</v>
      </c>
      <c r="M11" s="142">
        <v>30.0</v>
      </c>
    </row>
    <row r="12">
      <c r="A12" s="149">
        <v>5.0</v>
      </c>
      <c r="B12" s="201" t="s">
        <v>21</v>
      </c>
      <c r="C12" s="150">
        <v>0.3375</v>
      </c>
      <c r="D12" s="5"/>
      <c r="E12" s="147" t="s">
        <v>103</v>
      </c>
      <c r="F12" s="5"/>
      <c r="G12" s="147" t="s">
        <v>103</v>
      </c>
      <c r="H12" s="5"/>
      <c r="I12" s="150">
        <v>0.5006944444444444</v>
      </c>
      <c r="J12" s="5"/>
      <c r="K12" s="6"/>
      <c r="L12" s="142">
        <v>0.0</v>
      </c>
    </row>
    <row r="13">
      <c r="A13" s="149">
        <v>6.0</v>
      </c>
      <c r="B13" s="201" t="s">
        <v>23</v>
      </c>
      <c r="C13" s="147" t="s">
        <v>103</v>
      </c>
      <c r="D13" s="5"/>
      <c r="E13" s="147" t="s">
        <v>103</v>
      </c>
      <c r="F13" s="5"/>
      <c r="G13" s="147" t="s">
        <v>103</v>
      </c>
      <c r="H13" s="5"/>
      <c r="I13" s="147" t="s">
        <v>103</v>
      </c>
      <c r="J13" s="5"/>
      <c r="K13" s="6"/>
    </row>
    <row r="14">
      <c r="A14" s="149">
        <v>7.0</v>
      </c>
      <c r="B14" s="201" t="s">
        <v>257</v>
      </c>
      <c r="C14" s="150">
        <v>0.3597222222222222</v>
      </c>
      <c r="D14" s="5"/>
      <c r="E14" s="150">
        <v>0.5055555555555555</v>
      </c>
      <c r="F14" s="5"/>
      <c r="G14" s="150">
        <v>0.5458333333333333</v>
      </c>
      <c r="H14" s="5"/>
      <c r="I14" s="150">
        <v>0.7534722222222222</v>
      </c>
      <c r="J14" s="5"/>
      <c r="K14" s="6"/>
      <c r="L14" s="142">
        <v>0.0</v>
      </c>
      <c r="M14" s="142">
        <v>30.0</v>
      </c>
    </row>
    <row r="15">
      <c r="A15" s="149">
        <v>8.0</v>
      </c>
      <c r="B15" s="199" t="s">
        <v>25</v>
      </c>
      <c r="C15" s="150">
        <v>0.35</v>
      </c>
      <c r="D15" s="5"/>
      <c r="E15" s="151">
        <v>0.5013888888888889</v>
      </c>
      <c r="F15" s="5"/>
      <c r="G15" s="151">
        <v>0.5444444444444444</v>
      </c>
      <c r="H15" s="5"/>
      <c r="I15" s="151">
        <v>0.7458333333333333</v>
      </c>
      <c r="J15" s="5"/>
      <c r="K15" s="6"/>
      <c r="L15" s="142">
        <v>0.0</v>
      </c>
      <c r="M15" s="142">
        <v>30.0</v>
      </c>
    </row>
    <row r="16">
      <c r="A16" s="149">
        <v>9.0</v>
      </c>
      <c r="B16" s="200" t="s">
        <v>18</v>
      </c>
      <c r="C16" s="151">
        <v>0.3645833333333333</v>
      </c>
      <c r="D16" s="5"/>
      <c r="E16" s="151">
        <v>0.5013888888888889</v>
      </c>
      <c r="F16" s="5"/>
      <c r="G16" s="151">
        <v>0.54375</v>
      </c>
      <c r="H16" s="5"/>
      <c r="I16" s="151">
        <v>0.7472222222222222</v>
      </c>
      <c r="J16" s="5"/>
      <c r="K16" s="6"/>
      <c r="L16" s="142">
        <v>-18.0</v>
      </c>
      <c r="M16" s="142">
        <v>30.0</v>
      </c>
    </row>
    <row r="17">
      <c r="A17" s="149">
        <v>10.0</v>
      </c>
      <c r="B17" s="201" t="s">
        <v>26</v>
      </c>
      <c r="C17" s="150">
        <v>0.3541666666666667</v>
      </c>
      <c r="D17" s="5"/>
      <c r="E17" s="150">
        <v>0.5006944444444444</v>
      </c>
      <c r="F17" s="5"/>
      <c r="G17" s="150">
        <v>0.5430555555555555</v>
      </c>
      <c r="H17" s="5"/>
      <c r="I17" s="150">
        <v>0.7458333333333333</v>
      </c>
      <c r="J17" s="5"/>
      <c r="K17" s="6"/>
      <c r="L17" s="142">
        <v>-7.0</v>
      </c>
      <c r="M17" s="142">
        <v>30.0</v>
      </c>
      <c r="N17" s="142" t="s">
        <v>190</v>
      </c>
      <c r="O17" s="142">
        <v>-37.0</v>
      </c>
      <c r="P17" s="41">
        <v>0.14583333333333334</v>
      </c>
    </row>
    <row r="18">
      <c r="A18" s="149">
        <v>11.0</v>
      </c>
      <c r="B18" s="199" t="s">
        <v>20</v>
      </c>
      <c r="C18" s="150">
        <v>0.35833333333333334</v>
      </c>
      <c r="D18" s="5"/>
      <c r="E18" s="150">
        <v>0.5006944444444444</v>
      </c>
      <c r="F18" s="5"/>
      <c r="G18" s="150">
        <v>0.5423611111111111</v>
      </c>
      <c r="H18" s="5"/>
      <c r="I18" s="150">
        <v>0.7479166666666667</v>
      </c>
      <c r="J18" s="5"/>
      <c r="K18" s="6"/>
      <c r="L18" s="142">
        <v>-9.0</v>
      </c>
      <c r="M18" s="142">
        <v>30.0</v>
      </c>
      <c r="P18" s="41"/>
    </row>
    <row r="19">
      <c r="A19" s="149">
        <v>12.0</v>
      </c>
      <c r="B19" s="200" t="s">
        <v>21</v>
      </c>
      <c r="C19" s="150">
        <v>0.33958333333333335</v>
      </c>
      <c r="D19" s="5"/>
      <c r="E19" s="147" t="s">
        <v>103</v>
      </c>
      <c r="F19" s="5"/>
      <c r="G19" s="147" t="s">
        <v>103</v>
      </c>
      <c r="H19" s="5"/>
      <c r="I19" s="150">
        <v>0.50625</v>
      </c>
      <c r="J19" s="5"/>
      <c r="K19" s="6"/>
      <c r="L19" s="229">
        <v>0.0</v>
      </c>
      <c r="P19" s="41"/>
    </row>
    <row r="20">
      <c r="A20" s="149">
        <v>13.0</v>
      </c>
      <c r="B20" s="200" t="s">
        <v>23</v>
      </c>
      <c r="C20" s="147" t="s">
        <v>103</v>
      </c>
      <c r="D20" s="5"/>
      <c r="E20" s="147" t="s">
        <v>103</v>
      </c>
      <c r="F20" s="5"/>
      <c r="G20" s="147" t="s">
        <v>103</v>
      </c>
      <c r="H20" s="5"/>
      <c r="I20" s="147" t="s">
        <v>103</v>
      </c>
      <c r="J20" s="5"/>
      <c r="K20" s="6"/>
    </row>
    <row r="21">
      <c r="A21" s="149">
        <v>14.0</v>
      </c>
      <c r="B21" s="201" t="s">
        <v>257</v>
      </c>
      <c r="C21" s="147" t="s">
        <v>103</v>
      </c>
      <c r="D21" s="5"/>
      <c r="E21" s="147" t="s">
        <v>103</v>
      </c>
      <c r="F21" s="5"/>
      <c r="G21" s="147" t="s">
        <v>103</v>
      </c>
      <c r="H21" s="5"/>
      <c r="I21" s="147" t="s">
        <v>103</v>
      </c>
      <c r="J21" s="5"/>
      <c r="K21" s="6"/>
    </row>
    <row r="22">
      <c r="A22" s="149">
        <v>15.0</v>
      </c>
      <c r="B22" s="199" t="s">
        <v>25</v>
      </c>
      <c r="C22" s="150">
        <v>0.35208333333333336</v>
      </c>
      <c r="D22" s="5"/>
      <c r="E22" s="181" t="s">
        <v>103</v>
      </c>
      <c r="F22" s="5"/>
      <c r="G22" s="181" t="s">
        <v>103</v>
      </c>
      <c r="H22" s="5"/>
      <c r="I22" s="147" t="s">
        <v>103</v>
      </c>
      <c r="J22" s="5"/>
      <c r="K22" s="142" t="s">
        <v>294</v>
      </c>
      <c r="M22" s="142" t="s">
        <v>295</v>
      </c>
    </row>
    <row r="23">
      <c r="A23" s="149">
        <v>16.0</v>
      </c>
      <c r="B23" s="200" t="s">
        <v>18</v>
      </c>
      <c r="C23" s="151">
        <v>0.3548611111111111</v>
      </c>
      <c r="D23" s="5"/>
      <c r="E23" s="151">
        <v>0.5006944444444444</v>
      </c>
      <c r="F23" s="5"/>
      <c r="G23" s="151">
        <v>0.5444444444444444</v>
      </c>
      <c r="H23" s="5"/>
      <c r="I23" s="151">
        <v>0.7458333333333333</v>
      </c>
      <c r="J23" s="5"/>
      <c r="K23" s="6"/>
      <c r="L23" s="142">
        <v>-10.0</v>
      </c>
      <c r="M23" s="142">
        <v>30.0</v>
      </c>
    </row>
    <row r="24">
      <c r="A24" s="149">
        <v>17.0</v>
      </c>
      <c r="B24" s="201" t="s">
        <v>26</v>
      </c>
      <c r="C24" s="150">
        <v>0.35208333333333336</v>
      </c>
      <c r="D24" s="5"/>
      <c r="E24" s="150">
        <v>0.5013888888888889</v>
      </c>
      <c r="F24" s="5"/>
      <c r="G24" s="150">
        <v>0.5423611111111111</v>
      </c>
      <c r="H24" s="5"/>
      <c r="I24" s="150">
        <v>0.7486111111111111</v>
      </c>
      <c r="J24" s="5"/>
      <c r="K24" s="6"/>
      <c r="L24" s="142">
        <v>0.0</v>
      </c>
      <c r="M24" s="142">
        <v>30.0</v>
      </c>
    </row>
    <row r="25">
      <c r="A25" s="149">
        <v>18.0</v>
      </c>
      <c r="B25" s="199" t="s">
        <v>20</v>
      </c>
      <c r="C25" s="147" t="s">
        <v>150</v>
      </c>
      <c r="D25" s="15"/>
      <c r="E25" s="15"/>
      <c r="F25" s="15"/>
      <c r="G25" s="15"/>
      <c r="H25" s="15"/>
      <c r="I25" s="15"/>
      <c r="J25" s="5"/>
      <c r="K25" s="6"/>
    </row>
    <row r="26">
      <c r="A26" s="149">
        <v>19.0</v>
      </c>
      <c r="B26" s="200" t="s">
        <v>21</v>
      </c>
      <c r="C26" s="147" t="s">
        <v>107</v>
      </c>
      <c r="D26" s="15"/>
      <c r="E26" s="15"/>
      <c r="F26" s="15"/>
      <c r="G26" s="15"/>
      <c r="H26" s="15"/>
      <c r="I26" s="15"/>
      <c r="J26" s="5"/>
      <c r="K26" s="127"/>
      <c r="M26" s="142" t="s">
        <v>162</v>
      </c>
    </row>
    <row r="27">
      <c r="A27" s="149">
        <v>20.0</v>
      </c>
      <c r="B27" s="200" t="s">
        <v>23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6"/>
    </row>
    <row r="28">
      <c r="A28" s="149">
        <v>21.0</v>
      </c>
      <c r="B28" s="199" t="s">
        <v>257</v>
      </c>
      <c r="C28" s="147" t="s">
        <v>150</v>
      </c>
      <c r="D28" s="15"/>
      <c r="E28" s="15"/>
      <c r="F28" s="15"/>
      <c r="G28" s="15"/>
      <c r="H28" s="15"/>
      <c r="I28" s="15"/>
      <c r="J28" s="5"/>
      <c r="K28" s="6"/>
      <c r="M28" s="183" t="s">
        <v>27</v>
      </c>
      <c r="N28" s="230">
        <v>0.20833333333333334</v>
      </c>
      <c r="O28" s="204">
        <v>-0.3659722222222222</v>
      </c>
    </row>
    <row r="29">
      <c r="A29" s="149">
        <v>22.0</v>
      </c>
      <c r="B29" s="200" t="s">
        <v>25</v>
      </c>
      <c r="C29" s="150">
        <v>0.35625</v>
      </c>
      <c r="D29" s="5"/>
      <c r="E29" s="151">
        <v>0.5020833333333333</v>
      </c>
      <c r="F29" s="5"/>
      <c r="G29" s="151">
        <v>0.5451388888888888</v>
      </c>
      <c r="H29" s="5"/>
      <c r="I29" s="150">
        <v>0.7493055555555556</v>
      </c>
      <c r="J29" s="5"/>
      <c r="K29" s="6"/>
      <c r="L29" s="142">
        <v>-6.0</v>
      </c>
      <c r="M29" s="142">
        <v>30.0</v>
      </c>
    </row>
    <row r="30">
      <c r="A30" s="149">
        <v>23.0</v>
      </c>
      <c r="B30" s="200" t="s">
        <v>18</v>
      </c>
      <c r="C30" s="151">
        <v>0.3729166666666667</v>
      </c>
      <c r="D30" s="5"/>
      <c r="E30" s="181" t="s">
        <v>103</v>
      </c>
      <c r="F30" s="5"/>
      <c r="G30" s="151">
        <v>0.5458333333333333</v>
      </c>
      <c r="H30" s="5"/>
      <c r="I30" s="151">
        <v>0.7534722222222222</v>
      </c>
      <c r="J30" s="5"/>
      <c r="K30" s="6"/>
      <c r="L30" s="142">
        <v>-22.0</v>
      </c>
      <c r="M30" s="142">
        <v>30.0</v>
      </c>
    </row>
    <row r="31">
      <c r="A31" s="149">
        <v>24.0</v>
      </c>
      <c r="B31" s="199" t="s">
        <v>26</v>
      </c>
      <c r="C31" s="150">
        <v>0.3506944444444444</v>
      </c>
      <c r="D31" s="5"/>
      <c r="E31" s="150">
        <v>0.5048611111111111</v>
      </c>
      <c r="F31" s="5"/>
      <c r="G31" s="150">
        <v>0.5465277777777777</v>
      </c>
      <c r="H31" s="5"/>
      <c r="I31" s="150">
        <v>0.7444444444444445</v>
      </c>
      <c r="J31" s="5"/>
      <c r="K31" s="6"/>
      <c r="L31" s="142">
        <v>0.0</v>
      </c>
      <c r="M31" s="142">
        <v>30.0</v>
      </c>
    </row>
    <row r="32">
      <c r="A32" s="149">
        <v>25.0</v>
      </c>
      <c r="B32" s="200" t="s">
        <v>20</v>
      </c>
      <c r="C32" s="150">
        <v>0.3611111111111111</v>
      </c>
      <c r="D32" s="5"/>
      <c r="E32" s="150">
        <v>0.5013888888888889</v>
      </c>
      <c r="F32" s="5"/>
      <c r="G32" s="147" t="s">
        <v>103</v>
      </c>
      <c r="H32" s="5"/>
      <c r="I32" s="150">
        <v>0.7458333333333333</v>
      </c>
      <c r="J32" s="5"/>
      <c r="K32" s="6"/>
      <c r="L32" s="142">
        <v>-16.0</v>
      </c>
      <c r="M32" s="142">
        <v>30.0</v>
      </c>
    </row>
    <row r="33">
      <c r="A33" s="149">
        <v>26.0</v>
      </c>
      <c r="B33" s="200" t="s">
        <v>21</v>
      </c>
      <c r="C33" s="150">
        <v>0.3375</v>
      </c>
      <c r="D33" s="5"/>
      <c r="E33" s="147" t="s">
        <v>103</v>
      </c>
      <c r="F33" s="5"/>
      <c r="G33" s="147" t="s">
        <v>103</v>
      </c>
      <c r="H33" s="5"/>
      <c r="I33" s="150">
        <v>0.4951388888888889</v>
      </c>
      <c r="J33" s="5"/>
      <c r="K33" s="6"/>
    </row>
    <row r="34">
      <c r="A34" s="149">
        <v>27.0</v>
      </c>
      <c r="B34" s="203" t="s">
        <v>23</v>
      </c>
      <c r="C34" s="147" t="s">
        <v>103</v>
      </c>
      <c r="D34" s="5"/>
      <c r="E34" s="147" t="s">
        <v>103</v>
      </c>
      <c r="F34" s="5"/>
      <c r="G34" s="147" t="s">
        <v>103</v>
      </c>
      <c r="H34" s="5"/>
      <c r="I34" s="147" t="s">
        <v>103</v>
      </c>
      <c r="J34" s="5"/>
      <c r="K34" s="6"/>
      <c r="N34" s="45"/>
      <c r="O34" s="44"/>
      <c r="P34" s="45"/>
      <c r="Q34" s="44"/>
      <c r="R34" s="44"/>
      <c r="S34" s="45"/>
      <c r="T34" s="45"/>
      <c r="U34" s="44"/>
      <c r="V34" s="13"/>
    </row>
    <row r="35">
      <c r="A35" s="149">
        <v>28.0</v>
      </c>
      <c r="B35" s="200" t="s">
        <v>257</v>
      </c>
      <c r="C35" s="150">
        <v>0.35138888888888886</v>
      </c>
      <c r="D35" s="5"/>
      <c r="E35" s="150">
        <v>0.5027777777777778</v>
      </c>
      <c r="F35" s="5"/>
      <c r="G35" s="150">
        <v>0.5444444444444444</v>
      </c>
      <c r="H35" s="5"/>
      <c r="I35" s="150">
        <v>0.7444444444444445</v>
      </c>
      <c r="J35" s="5"/>
      <c r="L35" s="142">
        <v>0.0</v>
      </c>
      <c r="M35" s="233">
        <v>30.0</v>
      </c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63">
        <v>29.0</v>
      </c>
      <c r="B36" s="200" t="s">
        <v>25</v>
      </c>
      <c r="C36" s="151">
        <v>0.36319444444444443</v>
      </c>
      <c r="D36" s="5"/>
      <c r="E36" s="151">
        <v>0.5131944444444444</v>
      </c>
      <c r="F36" s="5"/>
      <c r="G36" s="151">
        <v>0.5541666666666667</v>
      </c>
      <c r="H36" s="5"/>
      <c r="I36" s="151">
        <v>0.7451388888888889</v>
      </c>
      <c r="J36" s="5"/>
      <c r="K36" s="6"/>
      <c r="L36" s="142">
        <v>-19.0</v>
      </c>
      <c r="M36" s="142">
        <v>30.0</v>
      </c>
    </row>
    <row r="37">
      <c r="A37" s="163">
        <v>30.0</v>
      </c>
      <c r="B37" s="200" t="s">
        <v>18</v>
      </c>
      <c r="C37" s="181" t="s">
        <v>161</v>
      </c>
      <c r="D37" s="15"/>
      <c r="E37" s="15"/>
      <c r="F37" s="15"/>
      <c r="G37" s="15"/>
      <c r="H37" s="15"/>
      <c r="I37" s="15"/>
      <c r="J37" s="5"/>
      <c r="K37" s="6"/>
      <c r="L37" s="142" t="s">
        <v>163</v>
      </c>
      <c r="M37" s="183" t="s">
        <v>27</v>
      </c>
      <c r="N37" s="230">
        <v>0.3333333333333333</v>
      </c>
      <c r="O37" s="183" t="s">
        <v>296</v>
      </c>
    </row>
    <row r="38">
      <c r="A38" s="103" t="s">
        <v>31</v>
      </c>
      <c r="B38" s="15"/>
      <c r="C38" s="15"/>
      <c r="D38" s="15"/>
      <c r="E38" s="15"/>
      <c r="F38" s="15"/>
      <c r="G38" s="15"/>
      <c r="H38" s="15"/>
      <c r="I38" s="15"/>
      <c r="J38" s="5"/>
      <c r="K38" s="6"/>
      <c r="N38" s="13"/>
      <c r="O38" s="29"/>
    </row>
    <row r="39">
      <c r="A39" s="107" t="s">
        <v>297</v>
      </c>
      <c r="B39" s="15"/>
      <c r="C39" s="15"/>
      <c r="D39" s="15"/>
      <c r="E39" s="15"/>
      <c r="F39" s="15"/>
      <c r="G39" s="15"/>
      <c r="H39" s="15"/>
      <c r="I39" s="15"/>
      <c r="J39" s="5"/>
      <c r="K39" s="6"/>
    </row>
    <row r="40">
      <c r="A40" s="107" t="s">
        <v>298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32" t="s">
        <v>299</v>
      </c>
      <c r="B41" s="3"/>
      <c r="C41" s="3"/>
      <c r="D41" s="3"/>
      <c r="E41" s="3"/>
      <c r="F41" s="3"/>
      <c r="G41" s="3"/>
      <c r="H41" s="3"/>
      <c r="I41" s="3"/>
      <c r="J41" s="2"/>
      <c r="K41" s="6"/>
    </row>
    <row r="42">
      <c r="A42" s="133" t="s">
        <v>35</v>
      </c>
      <c r="B42" s="134"/>
      <c r="C42" s="134"/>
      <c r="D42" s="134"/>
      <c r="E42" s="134"/>
      <c r="F42" s="134"/>
      <c r="G42" s="3"/>
      <c r="H42" s="134"/>
      <c r="I42" s="134"/>
      <c r="J42" s="135"/>
      <c r="K42" s="6"/>
    </row>
    <row r="43" ht="2.25" customHeight="1">
      <c r="A43" s="136"/>
      <c r="B43" s="137"/>
      <c r="C43" s="137"/>
      <c r="D43" s="137"/>
      <c r="F43" s="137"/>
      <c r="H43" s="137"/>
      <c r="I43" s="137"/>
      <c r="J43" s="138"/>
      <c r="K43" s="6"/>
    </row>
    <row r="44">
      <c r="A44" s="139" t="s">
        <v>36</v>
      </c>
      <c r="B44" s="137"/>
      <c r="C44" s="140" t="s">
        <v>37</v>
      </c>
      <c r="J44" s="8"/>
      <c r="K44" s="6"/>
    </row>
    <row r="45" ht="11.25" customHeight="1">
      <c r="A45" s="58"/>
      <c r="B45" s="59"/>
      <c r="C45" s="59"/>
      <c r="D45" s="59"/>
      <c r="E45" s="11"/>
      <c r="F45" s="59"/>
      <c r="G45" s="11"/>
      <c r="H45" s="59"/>
      <c r="I45" s="59"/>
      <c r="J45" s="60"/>
      <c r="K45" s="6"/>
    </row>
  </sheetData>
  <mergeCells count="132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C25:J25"/>
    <mergeCell ref="C26:J26"/>
    <mergeCell ref="C27:D27"/>
    <mergeCell ref="I27:J27"/>
    <mergeCell ref="C28:J28"/>
    <mergeCell ref="C29:D29"/>
    <mergeCell ref="E29:F29"/>
    <mergeCell ref="G29:H29"/>
    <mergeCell ref="I29:J29"/>
    <mergeCell ref="C30:D30"/>
    <mergeCell ref="I30:J30"/>
    <mergeCell ref="E32:F32"/>
    <mergeCell ref="G32:H32"/>
    <mergeCell ref="E30:F30"/>
    <mergeCell ref="G30:H30"/>
    <mergeCell ref="C31:D31"/>
    <mergeCell ref="E31:F31"/>
    <mergeCell ref="G31:H31"/>
    <mergeCell ref="I31:J31"/>
    <mergeCell ref="I32:J32"/>
    <mergeCell ref="G34:H34"/>
    <mergeCell ref="I34:J34"/>
    <mergeCell ref="C32:D32"/>
    <mergeCell ref="C33:D33"/>
    <mergeCell ref="E33:F33"/>
    <mergeCell ref="G33:H33"/>
    <mergeCell ref="I33:J33"/>
    <mergeCell ref="C34:D34"/>
    <mergeCell ref="E34:F34"/>
    <mergeCell ref="D43:E43"/>
    <mergeCell ref="D45:E45"/>
    <mergeCell ref="F45:G45"/>
    <mergeCell ref="A38:J38"/>
    <mergeCell ref="A39:J39"/>
    <mergeCell ref="A40:J40"/>
    <mergeCell ref="A41:J41"/>
    <mergeCell ref="F42:G42"/>
    <mergeCell ref="F43:G43"/>
    <mergeCell ref="C44:J44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E27:F27"/>
    <mergeCell ref="G27:H27"/>
    <mergeCell ref="I36:J36"/>
    <mergeCell ref="C37:J37"/>
    <mergeCell ref="C35:D35"/>
    <mergeCell ref="E35:F35"/>
    <mergeCell ref="G35:H35"/>
    <mergeCell ref="I35:J35"/>
    <mergeCell ref="C36:D36"/>
    <mergeCell ref="E36:F36"/>
    <mergeCell ref="G36:H36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2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</cols>
  <sheetData>
    <row r="1">
      <c r="A1" s="169" t="s">
        <v>0</v>
      </c>
      <c r="B1" s="3"/>
      <c r="C1" s="170" t="s">
        <v>1</v>
      </c>
      <c r="D1" s="3"/>
      <c r="E1" s="3"/>
      <c r="F1" s="3"/>
      <c r="G1" s="3"/>
      <c r="H1" s="3"/>
      <c r="I1" s="171" t="s">
        <v>2</v>
      </c>
      <c r="J1" s="5"/>
      <c r="K1" s="6"/>
    </row>
    <row r="2">
      <c r="A2" s="7"/>
      <c r="C2" s="7"/>
      <c r="I2" s="171" t="s">
        <v>3</v>
      </c>
      <c r="J2" s="5"/>
      <c r="K2" s="6"/>
    </row>
    <row r="3">
      <c r="A3" s="7"/>
      <c r="C3" s="7"/>
      <c r="I3" s="171" t="s">
        <v>4</v>
      </c>
      <c r="J3" s="5"/>
      <c r="K3" s="6"/>
    </row>
    <row r="4">
      <c r="A4" s="172" t="s">
        <v>5</v>
      </c>
      <c r="B4" s="214" t="s">
        <v>181</v>
      </c>
      <c r="C4" s="15"/>
      <c r="D4" s="15"/>
      <c r="E4" s="15"/>
      <c r="F4" s="15"/>
      <c r="G4" s="215"/>
      <c r="H4" s="3"/>
      <c r="I4" s="215"/>
      <c r="J4" s="216"/>
      <c r="K4" s="6"/>
    </row>
    <row r="5">
      <c r="A5" s="175" t="s">
        <v>7</v>
      </c>
      <c r="B5" s="217" t="s">
        <v>41</v>
      </c>
      <c r="C5" s="3"/>
      <c r="D5" s="3"/>
      <c r="E5" s="3"/>
      <c r="F5" s="177" t="s">
        <v>9</v>
      </c>
      <c r="G5" s="178"/>
      <c r="H5" s="179"/>
      <c r="I5" s="179"/>
      <c r="J5" s="179"/>
      <c r="K5" s="6"/>
    </row>
    <row r="6">
      <c r="A6" s="218" t="s">
        <v>10</v>
      </c>
      <c r="B6" s="176" t="s">
        <v>283</v>
      </c>
      <c r="C6" s="15"/>
      <c r="D6" s="15"/>
      <c r="E6" s="1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6"/>
    </row>
    <row r="8">
      <c r="A8" s="205">
        <v>1.0</v>
      </c>
      <c r="B8" s="199" t="s">
        <v>25</v>
      </c>
      <c r="C8" s="151">
        <v>0.3486111111111111</v>
      </c>
      <c r="D8" s="15"/>
      <c r="E8" s="151">
        <v>0.5409722222222222</v>
      </c>
      <c r="F8" s="15"/>
      <c r="G8" s="151">
        <v>0.5819444444444445</v>
      </c>
      <c r="H8" s="15"/>
      <c r="I8" s="151">
        <v>0.7451388888888889</v>
      </c>
      <c r="J8" s="5"/>
      <c r="K8" s="6"/>
      <c r="L8" s="142">
        <v>0.0</v>
      </c>
      <c r="M8" s="142">
        <v>30.0</v>
      </c>
    </row>
    <row r="9">
      <c r="A9" s="206">
        <v>2.0</v>
      </c>
      <c r="B9" s="200" t="s">
        <v>284</v>
      </c>
      <c r="C9" s="151">
        <v>0.35</v>
      </c>
      <c r="D9" s="15"/>
      <c r="E9" s="151">
        <v>0.5458333333333333</v>
      </c>
      <c r="F9" s="15"/>
      <c r="G9" s="151">
        <v>0.5826388888888889</v>
      </c>
      <c r="H9" s="15"/>
      <c r="I9" s="151">
        <v>0.7493055555555556</v>
      </c>
      <c r="J9" s="5"/>
      <c r="K9" s="6"/>
      <c r="L9" s="142">
        <v>12.0</v>
      </c>
      <c r="M9" s="142">
        <v>30.0</v>
      </c>
    </row>
    <row r="10">
      <c r="A10" s="206">
        <v>3.0</v>
      </c>
      <c r="B10" s="201" t="s">
        <v>19</v>
      </c>
      <c r="C10" s="151">
        <v>0.34930555555555554</v>
      </c>
      <c r="D10" s="15"/>
      <c r="E10" s="151">
        <v>0.5416666666666666</v>
      </c>
      <c r="F10" s="15"/>
      <c r="G10" s="151">
        <v>0.5826388888888889</v>
      </c>
      <c r="H10" s="15"/>
      <c r="I10" s="151">
        <v>0.7430555555555556</v>
      </c>
      <c r="J10" s="5"/>
      <c r="K10" s="6"/>
      <c r="L10" s="142">
        <v>0.0</v>
      </c>
      <c r="M10" s="142">
        <v>30.0</v>
      </c>
    </row>
    <row r="11">
      <c r="A11" s="206">
        <v>4.0</v>
      </c>
      <c r="B11" s="199" t="s">
        <v>20</v>
      </c>
      <c r="C11" s="151">
        <v>0.35</v>
      </c>
      <c r="D11" s="15"/>
      <c r="E11" s="151">
        <v>0.5409722222222222</v>
      </c>
      <c r="F11" s="15"/>
      <c r="G11" s="151">
        <v>0.58125</v>
      </c>
      <c r="H11" s="15"/>
      <c r="I11" s="151">
        <v>0.7409722222222223</v>
      </c>
      <c r="J11" s="5"/>
      <c r="K11" s="6"/>
      <c r="L11" s="142">
        <v>0.0</v>
      </c>
      <c r="M11" s="142">
        <v>30.0</v>
      </c>
    </row>
    <row r="12">
      <c r="A12" s="206">
        <v>5.0</v>
      </c>
      <c r="B12" s="201" t="s">
        <v>21</v>
      </c>
      <c r="C12" s="151">
        <v>0.3277777777777778</v>
      </c>
      <c r="D12" s="15"/>
      <c r="E12" s="181" t="s">
        <v>103</v>
      </c>
      <c r="F12" s="15"/>
      <c r="G12" s="181" t="s">
        <v>103</v>
      </c>
      <c r="H12" s="15"/>
      <c r="I12" s="151">
        <v>0.5006944444444444</v>
      </c>
      <c r="J12" s="5"/>
      <c r="K12" s="6"/>
      <c r="L12" s="142">
        <v>9.0</v>
      </c>
    </row>
    <row r="13">
      <c r="A13" s="206">
        <v>6.0</v>
      </c>
      <c r="B13" s="201" t="s">
        <v>23</v>
      </c>
      <c r="C13" s="147" t="s">
        <v>103</v>
      </c>
      <c r="D13" s="15"/>
      <c r="E13" s="147" t="s">
        <v>103</v>
      </c>
      <c r="F13" s="15"/>
      <c r="G13" s="147" t="s">
        <v>103</v>
      </c>
      <c r="H13" s="15"/>
      <c r="I13" s="147" t="s">
        <v>103</v>
      </c>
      <c r="J13" s="5"/>
      <c r="K13" s="6"/>
    </row>
    <row r="14">
      <c r="A14" s="206">
        <v>7.0</v>
      </c>
      <c r="B14" s="201" t="s">
        <v>257</v>
      </c>
      <c r="C14" s="150">
        <v>0.3506944444444444</v>
      </c>
      <c r="D14" s="15"/>
      <c r="E14" s="150">
        <v>0.5416666666666666</v>
      </c>
      <c r="F14" s="15"/>
      <c r="G14" s="150">
        <v>0.5826388888888889</v>
      </c>
      <c r="H14" s="15"/>
      <c r="I14" s="150">
        <v>0.7541666666666667</v>
      </c>
      <c r="J14" s="5"/>
      <c r="K14" s="6"/>
      <c r="L14" s="142">
        <v>12.0</v>
      </c>
      <c r="M14" s="142">
        <v>30.0</v>
      </c>
    </row>
    <row r="15">
      <c r="A15" s="206">
        <v>8.0</v>
      </c>
      <c r="B15" s="199" t="s">
        <v>25</v>
      </c>
      <c r="C15" s="150">
        <v>0.3486111111111111</v>
      </c>
      <c r="D15" s="15"/>
      <c r="E15" s="150">
        <v>0.5451388888888888</v>
      </c>
      <c r="F15" s="15"/>
      <c r="G15" s="150">
        <v>0.5861111111111111</v>
      </c>
      <c r="H15" s="15"/>
      <c r="I15" s="150">
        <v>0.7465277777777778</v>
      </c>
      <c r="J15" s="5"/>
      <c r="K15" s="6"/>
      <c r="L15" s="142">
        <v>0.0</v>
      </c>
      <c r="M15" s="142">
        <v>30.0</v>
      </c>
    </row>
    <row r="16">
      <c r="A16" s="206">
        <v>9.0</v>
      </c>
      <c r="B16" s="200" t="s">
        <v>18</v>
      </c>
      <c r="C16" s="151">
        <v>0.3486111111111111</v>
      </c>
      <c r="D16" s="15"/>
      <c r="E16" s="151">
        <v>0.5409722222222222</v>
      </c>
      <c r="F16" s="15"/>
      <c r="G16" s="151">
        <v>0.5805555555555556</v>
      </c>
      <c r="H16" s="15"/>
      <c r="I16" s="151">
        <v>0.7486111111111111</v>
      </c>
      <c r="J16" s="5"/>
      <c r="K16" s="6"/>
      <c r="L16" s="142">
        <v>9.0</v>
      </c>
      <c r="M16" s="142">
        <v>30.0</v>
      </c>
    </row>
    <row r="17">
      <c r="A17" s="206">
        <v>10.0</v>
      </c>
      <c r="B17" s="201" t="s">
        <v>26</v>
      </c>
      <c r="C17" s="150">
        <v>0.3548611111111111</v>
      </c>
      <c r="D17" s="15"/>
      <c r="E17" s="147" t="s">
        <v>300</v>
      </c>
      <c r="F17" s="15"/>
      <c r="G17" s="150">
        <v>0.5833333333333334</v>
      </c>
      <c r="H17" s="15"/>
      <c r="I17" s="150">
        <v>0.7416666666666667</v>
      </c>
      <c r="J17" s="5"/>
      <c r="K17" s="6"/>
      <c r="L17" s="142">
        <v>-14.0</v>
      </c>
      <c r="M17" s="142">
        <v>30.0</v>
      </c>
    </row>
    <row r="18">
      <c r="A18" s="206">
        <v>11.0</v>
      </c>
      <c r="B18" s="199" t="s">
        <v>20</v>
      </c>
      <c r="C18" s="150">
        <v>0.3488425925925926</v>
      </c>
      <c r="D18" s="15"/>
      <c r="E18" s="150">
        <v>0.5410069444444444</v>
      </c>
      <c r="F18" s="15"/>
      <c r="G18" s="150">
        <v>0.58125</v>
      </c>
      <c r="H18" s="15"/>
      <c r="I18" s="150">
        <v>0.7489351851851852</v>
      </c>
      <c r="J18" s="5"/>
      <c r="K18" s="6"/>
      <c r="L18" s="142">
        <v>8.0</v>
      </c>
      <c r="M18" s="142">
        <v>30.0</v>
      </c>
      <c r="N18" s="142" t="s">
        <v>190</v>
      </c>
      <c r="O18" s="41">
        <v>0.2222222222222222</v>
      </c>
      <c r="P18" s="142">
        <v>-14.0</v>
      </c>
    </row>
    <row r="19">
      <c r="A19" s="206">
        <v>12.0</v>
      </c>
      <c r="B19" s="200" t="s">
        <v>21</v>
      </c>
      <c r="C19" s="150">
        <v>0.3284722222222222</v>
      </c>
      <c r="D19" s="15"/>
      <c r="E19" s="147" t="s">
        <v>103</v>
      </c>
      <c r="F19" s="15"/>
      <c r="G19" s="147" t="s">
        <v>103</v>
      </c>
      <c r="H19" s="15"/>
      <c r="I19" s="150">
        <v>0.5048611111111111</v>
      </c>
      <c r="J19" s="5"/>
      <c r="K19" s="6"/>
      <c r="L19" s="142">
        <v>14.0</v>
      </c>
      <c r="O19" s="41"/>
    </row>
    <row r="20">
      <c r="A20" s="206">
        <v>13.0</v>
      </c>
      <c r="B20" s="200" t="s">
        <v>23</v>
      </c>
      <c r="C20" s="147" t="s">
        <v>103</v>
      </c>
      <c r="D20" s="15"/>
      <c r="E20" s="147" t="s">
        <v>103</v>
      </c>
      <c r="F20" s="15"/>
      <c r="G20" s="147" t="s">
        <v>103</v>
      </c>
      <c r="H20" s="15"/>
      <c r="I20" s="147" t="s">
        <v>103</v>
      </c>
      <c r="J20" s="5"/>
      <c r="K20" s="6"/>
    </row>
    <row r="21">
      <c r="A21" s="206">
        <v>14.0</v>
      </c>
      <c r="B21" s="201" t="s">
        <v>257</v>
      </c>
      <c r="C21" s="147" t="s">
        <v>161</v>
      </c>
      <c r="D21" s="15"/>
      <c r="E21" s="15"/>
      <c r="F21" s="15"/>
      <c r="G21" s="15"/>
      <c r="H21" s="15"/>
      <c r="I21" s="15"/>
      <c r="J21" s="15"/>
      <c r="K21" s="124"/>
      <c r="L21" s="142">
        <v>-8.0</v>
      </c>
    </row>
    <row r="22">
      <c r="A22" s="206">
        <v>15.0</v>
      </c>
      <c r="B22" s="199" t="s">
        <v>25</v>
      </c>
      <c r="C22" s="150">
        <v>0.3506944444444444</v>
      </c>
      <c r="D22" s="15"/>
      <c r="E22" s="150">
        <v>0.5423611111111111</v>
      </c>
      <c r="F22" s="15"/>
      <c r="G22" s="150">
        <v>0.5819444444444445</v>
      </c>
      <c r="H22" s="15"/>
      <c r="I22" s="150">
        <v>0.7479166666666667</v>
      </c>
      <c r="J22" s="5"/>
      <c r="K22" s="6"/>
      <c r="L22" s="142">
        <v>0.0</v>
      </c>
      <c r="M22" s="142">
        <v>30.0</v>
      </c>
    </row>
    <row r="23">
      <c r="A23" s="206">
        <v>16.0</v>
      </c>
      <c r="B23" s="200" t="s">
        <v>18</v>
      </c>
      <c r="C23" s="151">
        <v>0.35138888888888886</v>
      </c>
      <c r="D23" s="15"/>
      <c r="E23" s="151">
        <v>0.5416666666666666</v>
      </c>
      <c r="F23" s="15"/>
      <c r="G23" s="151">
        <v>0.5819444444444445</v>
      </c>
      <c r="H23" s="15"/>
      <c r="I23" s="151">
        <v>0.7458333333333333</v>
      </c>
      <c r="J23" s="5"/>
      <c r="K23" s="6"/>
      <c r="L23" s="142">
        <v>0.0</v>
      </c>
      <c r="M23" s="142">
        <v>30.0</v>
      </c>
    </row>
    <row r="24">
      <c r="A24" s="206">
        <v>17.0</v>
      </c>
      <c r="B24" s="201" t="s">
        <v>26</v>
      </c>
      <c r="C24" s="150">
        <v>0.35208333333333336</v>
      </c>
      <c r="D24" s="15"/>
      <c r="E24" s="150">
        <v>0.5416666666666666</v>
      </c>
      <c r="F24" s="15"/>
      <c r="G24" s="150">
        <v>0.5819444444444445</v>
      </c>
      <c r="H24" s="15"/>
      <c r="I24" s="150">
        <v>0.7486111111111111</v>
      </c>
      <c r="J24" s="5"/>
      <c r="K24" s="6"/>
      <c r="L24" s="142">
        <v>0.0</v>
      </c>
      <c r="M24" s="142">
        <v>30.0</v>
      </c>
    </row>
    <row r="25">
      <c r="A25" s="206">
        <v>18.0</v>
      </c>
      <c r="B25" s="199" t="s">
        <v>20</v>
      </c>
      <c r="C25" s="147" t="s">
        <v>150</v>
      </c>
      <c r="D25" s="15"/>
      <c r="E25" s="15"/>
      <c r="F25" s="15"/>
      <c r="G25" s="15"/>
      <c r="H25" s="15"/>
      <c r="I25" s="15"/>
      <c r="J25" s="5"/>
      <c r="K25" s="6"/>
    </row>
    <row r="26">
      <c r="A26" s="206">
        <v>19.0</v>
      </c>
      <c r="B26" s="200" t="s">
        <v>21</v>
      </c>
      <c r="C26" s="147" t="s">
        <v>107</v>
      </c>
      <c r="D26" s="15"/>
      <c r="E26" s="15"/>
      <c r="F26" s="15"/>
      <c r="G26" s="15"/>
      <c r="H26" s="15"/>
      <c r="I26" s="15"/>
      <c r="J26" s="5"/>
      <c r="K26" s="127"/>
      <c r="L26" s="142" t="s">
        <v>162</v>
      </c>
    </row>
    <row r="27">
      <c r="A27" s="206">
        <v>20.0</v>
      </c>
      <c r="B27" s="200" t="s">
        <v>23</v>
      </c>
      <c r="C27" s="147" t="s">
        <v>103</v>
      </c>
      <c r="D27" s="5"/>
      <c r="E27" s="147" t="s">
        <v>103</v>
      </c>
      <c r="F27" s="5"/>
      <c r="G27" s="147" t="s">
        <v>103</v>
      </c>
      <c r="H27" s="5"/>
      <c r="I27" s="147" t="s">
        <v>103</v>
      </c>
      <c r="J27" s="5"/>
      <c r="K27" s="6"/>
    </row>
    <row r="28">
      <c r="A28" s="206">
        <v>21.0</v>
      </c>
      <c r="B28" s="199" t="s">
        <v>257</v>
      </c>
      <c r="C28" s="147" t="s">
        <v>150</v>
      </c>
      <c r="D28" s="15"/>
      <c r="E28" s="15"/>
      <c r="F28" s="15"/>
      <c r="G28" s="15"/>
      <c r="H28" s="15"/>
      <c r="I28" s="15"/>
      <c r="J28" s="5"/>
      <c r="K28" s="6"/>
      <c r="N28" s="183" t="s">
        <v>27</v>
      </c>
      <c r="O28" s="230">
        <v>0.29444444444444445</v>
      </c>
      <c r="P28" s="204">
        <v>-0.5097222222222222</v>
      </c>
    </row>
    <row r="29">
      <c r="A29" s="206">
        <v>22.0</v>
      </c>
      <c r="B29" s="200" t="s">
        <v>25</v>
      </c>
      <c r="C29" s="150">
        <v>0.34791666666666665</v>
      </c>
      <c r="D29" s="5"/>
      <c r="E29" s="150">
        <v>0.5409722222222222</v>
      </c>
      <c r="F29" s="5"/>
      <c r="G29" s="150">
        <v>0.5833333333333334</v>
      </c>
      <c r="H29" s="5"/>
      <c r="I29" s="150">
        <v>0.7493055555555556</v>
      </c>
      <c r="J29" s="5"/>
      <c r="K29" s="6"/>
      <c r="L29" s="142">
        <v>7.0</v>
      </c>
      <c r="M29" s="142">
        <v>30.0</v>
      </c>
    </row>
    <row r="30">
      <c r="A30" s="206">
        <v>23.0</v>
      </c>
      <c r="B30" s="200" t="s">
        <v>18</v>
      </c>
      <c r="C30" s="151">
        <v>0.3486111111111111</v>
      </c>
      <c r="D30" s="5"/>
      <c r="E30" s="151">
        <v>0.5409722222222222</v>
      </c>
      <c r="F30" s="5"/>
      <c r="G30" s="151">
        <v>0.5826388888888889</v>
      </c>
      <c r="H30" s="5"/>
      <c r="I30" s="151">
        <v>0.7541666666666667</v>
      </c>
      <c r="J30" s="5"/>
      <c r="K30" s="6"/>
      <c r="L30" s="142">
        <v>14.0</v>
      </c>
      <c r="M30" s="142">
        <v>30.0</v>
      </c>
    </row>
    <row r="31">
      <c r="A31" s="206">
        <v>24.0</v>
      </c>
      <c r="B31" s="199" t="s">
        <v>26</v>
      </c>
      <c r="C31" s="150">
        <v>0.3506944444444444</v>
      </c>
      <c r="D31" s="15"/>
      <c r="E31" s="150">
        <v>0.5409722222222222</v>
      </c>
      <c r="F31" s="15"/>
      <c r="G31" s="150">
        <v>0.5770833333333333</v>
      </c>
      <c r="H31" s="15"/>
      <c r="I31" s="150">
        <v>0.7430555555555556</v>
      </c>
      <c r="J31" s="5"/>
      <c r="K31" s="6"/>
      <c r="L31" s="142">
        <v>0.0</v>
      </c>
      <c r="M31" s="142">
        <v>30.0</v>
      </c>
    </row>
    <row r="32">
      <c r="A32" s="206">
        <v>25.0</v>
      </c>
      <c r="B32" s="200" t="s">
        <v>20</v>
      </c>
      <c r="C32" s="150">
        <v>0.36041666666666666</v>
      </c>
      <c r="D32" s="15"/>
      <c r="E32" s="150">
        <v>0.5409722222222222</v>
      </c>
      <c r="F32" s="15"/>
      <c r="G32" s="150">
        <v>0.5840277777777778</v>
      </c>
      <c r="H32" s="15"/>
      <c r="I32" s="150">
        <v>0.7430555555555556</v>
      </c>
      <c r="J32" s="5"/>
      <c r="K32" s="6"/>
      <c r="L32" s="142">
        <v>-17.0</v>
      </c>
      <c r="M32" s="142">
        <v>30.0</v>
      </c>
    </row>
    <row r="33">
      <c r="A33" s="206">
        <v>26.0</v>
      </c>
      <c r="B33" s="200" t="s">
        <v>21</v>
      </c>
      <c r="C33" s="150">
        <v>0.33194444444444443</v>
      </c>
      <c r="D33" s="15"/>
      <c r="E33" s="147" t="s">
        <v>103</v>
      </c>
      <c r="F33" s="15"/>
      <c r="G33" s="147" t="s">
        <v>103</v>
      </c>
      <c r="H33" s="15"/>
      <c r="I33" s="150">
        <v>0.49722222222222223</v>
      </c>
      <c r="J33" s="5"/>
      <c r="K33" s="6"/>
      <c r="L33" s="142">
        <v>0.0</v>
      </c>
      <c r="M33" s="142"/>
    </row>
    <row r="34">
      <c r="A34" s="208">
        <v>27.0</v>
      </c>
      <c r="B34" s="203" t="s">
        <v>23</v>
      </c>
      <c r="C34" s="147" t="s">
        <v>103</v>
      </c>
      <c r="D34" s="15"/>
      <c r="E34" s="147" t="s">
        <v>103</v>
      </c>
      <c r="F34" s="15"/>
      <c r="G34" s="147" t="s">
        <v>103</v>
      </c>
      <c r="H34" s="15"/>
      <c r="I34" s="147" t="s">
        <v>103</v>
      </c>
      <c r="J34" s="5"/>
      <c r="K34" s="6"/>
    </row>
    <row r="35">
      <c r="A35" s="149">
        <v>28.0</v>
      </c>
      <c r="B35" s="200" t="s">
        <v>257</v>
      </c>
      <c r="C35" s="150">
        <v>0.35138888888888886</v>
      </c>
      <c r="D35" s="15"/>
      <c r="E35" s="150">
        <v>0.5409722222222222</v>
      </c>
      <c r="F35" s="15"/>
      <c r="G35" s="150">
        <v>0.5833333333333334</v>
      </c>
      <c r="H35" s="15"/>
      <c r="I35" s="150">
        <v>0.7458333333333333</v>
      </c>
      <c r="J35" s="5"/>
      <c r="K35" s="6"/>
      <c r="L35" s="142">
        <v>0.0</v>
      </c>
      <c r="M35" s="142">
        <v>30.0</v>
      </c>
    </row>
    <row r="36">
      <c r="A36" s="149">
        <v>29.0</v>
      </c>
      <c r="B36" s="200" t="s">
        <v>25</v>
      </c>
      <c r="C36" s="150">
        <v>0.3506944444444444</v>
      </c>
      <c r="D36" s="15"/>
      <c r="E36" s="150">
        <v>0.5416666666666666</v>
      </c>
      <c r="F36" s="15"/>
      <c r="G36" s="150">
        <v>0.5826388888888889</v>
      </c>
      <c r="H36" s="15"/>
      <c r="I36" s="150">
        <v>0.7451388888888889</v>
      </c>
      <c r="J36" s="5"/>
      <c r="K36" s="6"/>
      <c r="L36" s="142">
        <v>0.0</v>
      </c>
      <c r="M36" s="142">
        <v>30.0</v>
      </c>
      <c r="N36" s="29"/>
      <c r="O36" s="35"/>
    </row>
    <row r="37">
      <c r="A37" s="149">
        <v>30.0</v>
      </c>
      <c r="B37" s="200" t="s">
        <v>18</v>
      </c>
      <c r="C37" s="150">
        <v>0.3486111111111111</v>
      </c>
      <c r="D37" s="15"/>
      <c r="E37" s="150">
        <v>0.5416666666666666</v>
      </c>
      <c r="F37" s="15"/>
      <c r="G37" s="150">
        <v>0.5409722222222222</v>
      </c>
      <c r="H37" s="15"/>
      <c r="I37" s="150">
        <v>0.7430555555555556</v>
      </c>
      <c r="J37" s="5"/>
      <c r="K37" s="6"/>
      <c r="N37" s="183" t="s">
        <v>27</v>
      </c>
      <c r="O37" s="230">
        <v>0.4340277777777778</v>
      </c>
      <c r="P37" s="204">
        <v>-0.5215277777777778</v>
      </c>
    </row>
    <row r="38">
      <c r="A38" s="210" t="s">
        <v>31</v>
      </c>
      <c r="B38" s="11"/>
      <c r="C38" s="11"/>
      <c r="D38" s="11"/>
      <c r="E38" s="11"/>
      <c r="F38" s="11"/>
      <c r="G38" s="11"/>
      <c r="H38" s="11"/>
      <c r="I38" s="11"/>
      <c r="J38" s="10"/>
      <c r="K38" s="6"/>
    </row>
    <row r="39">
      <c r="A39" s="107" t="s">
        <v>301</v>
      </c>
      <c r="B39" s="108"/>
      <c r="C39" s="108"/>
      <c r="D39" s="108"/>
      <c r="E39" s="15"/>
      <c r="F39" s="108"/>
      <c r="G39" s="15"/>
      <c r="H39" s="108"/>
      <c r="I39" s="108"/>
      <c r="J39" s="109"/>
      <c r="K39" s="6"/>
    </row>
    <row r="40">
      <c r="A40" s="107" t="s">
        <v>302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</row>
    <row r="41">
      <c r="A41" s="107" t="s">
        <v>303</v>
      </c>
      <c r="B41" s="108"/>
      <c r="C41" s="108"/>
      <c r="D41" s="108"/>
      <c r="E41" s="15"/>
      <c r="F41" s="108"/>
      <c r="G41" s="15"/>
      <c r="H41" s="108"/>
      <c r="I41" s="108"/>
      <c r="J41" s="109"/>
      <c r="K41" s="12"/>
    </row>
    <row r="42">
      <c r="A42" s="133" t="s">
        <v>35</v>
      </c>
      <c r="B42" s="134"/>
      <c r="C42" s="134"/>
      <c r="D42" s="134"/>
      <c r="E42" s="134"/>
      <c r="F42" s="223"/>
      <c r="H42" s="223"/>
      <c r="I42" s="223"/>
      <c r="J42" s="224"/>
      <c r="K42" s="6"/>
    </row>
    <row r="43">
      <c r="A43" s="139" t="s">
        <v>36</v>
      </c>
      <c r="B43" s="137"/>
      <c r="C43" s="140" t="s">
        <v>37</v>
      </c>
      <c r="D43" s="137"/>
      <c r="F43" s="137"/>
      <c r="H43" s="137"/>
      <c r="I43" s="137"/>
      <c r="J43" s="138"/>
    </row>
    <row r="44">
      <c r="A44" s="58"/>
      <c r="B44" s="59"/>
      <c r="C44" s="59"/>
      <c r="D44" s="59"/>
      <c r="E44" s="11"/>
      <c r="F44" s="59"/>
      <c r="G44" s="11"/>
      <c r="H44" s="59"/>
      <c r="I44" s="59"/>
      <c r="J44" s="60"/>
    </row>
  </sheetData>
  <mergeCells count="134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I24:J24"/>
    <mergeCell ref="C25:J25"/>
    <mergeCell ref="C26:J26"/>
    <mergeCell ref="E27:F27"/>
    <mergeCell ref="G27:H27"/>
    <mergeCell ref="I27:J27"/>
    <mergeCell ref="C28:J28"/>
    <mergeCell ref="C27:D27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1:E41"/>
    <mergeCell ref="D43:E43"/>
    <mergeCell ref="F43:G43"/>
    <mergeCell ref="D44:E44"/>
    <mergeCell ref="F44:G44"/>
    <mergeCell ref="A38:J38"/>
    <mergeCell ref="D39:E39"/>
    <mergeCell ref="F39:G39"/>
    <mergeCell ref="D40:E40"/>
    <mergeCell ref="F40:G40"/>
    <mergeCell ref="F41:G41"/>
    <mergeCell ref="F42:G42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G22:H22"/>
    <mergeCell ref="I22:J22"/>
    <mergeCell ref="C20:D20"/>
    <mergeCell ref="E20:F20"/>
    <mergeCell ref="G20:H20"/>
    <mergeCell ref="I20:J20"/>
    <mergeCell ref="C21:J21"/>
    <mergeCell ref="C22:D22"/>
    <mergeCell ref="E22:F22"/>
    <mergeCell ref="C23:D23"/>
    <mergeCell ref="E23:F23"/>
    <mergeCell ref="G23:H23"/>
    <mergeCell ref="I23:J23"/>
    <mergeCell ref="C24:D24"/>
    <mergeCell ref="E24:F24"/>
    <mergeCell ref="G24:H24"/>
    <mergeCell ref="G30:H30"/>
    <mergeCell ref="I30:J30"/>
    <mergeCell ref="C36:D36"/>
    <mergeCell ref="C37:D37"/>
    <mergeCell ref="E37:F37"/>
    <mergeCell ref="G37:H37"/>
    <mergeCell ref="I37:J37"/>
  </mergeCells>
  <printOptions gridLines="1" horizontalCentered="1"/>
  <pageMargins bottom="0.75" footer="0.0" header="0.0" left="0.25" right="0.25" top="0.75"/>
  <pageSetup fitToWidth="0" paperSize="9" cellComments="atEnd" orientation="portrait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75"/>
    <col customWidth="1" min="5" max="5" width="8.5"/>
    <col customWidth="1" min="6" max="6" width="4.25"/>
    <col customWidth="1" min="7" max="7" width="4.63"/>
    <col customWidth="1" min="8" max="8" width="10.0"/>
    <col customWidth="1" min="10" max="10" width="8.88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52</v>
      </c>
      <c r="C5" s="15"/>
      <c r="D5" s="15"/>
      <c r="E5" s="5"/>
      <c r="F5" s="177" t="s">
        <v>9</v>
      </c>
      <c r="G5" s="178"/>
      <c r="H5" s="179"/>
      <c r="I5" s="179"/>
      <c r="J5" s="179"/>
      <c r="K5" s="6"/>
    </row>
    <row r="6">
      <c r="A6" s="172" t="s">
        <v>10</v>
      </c>
      <c r="B6" s="176" t="s">
        <v>304</v>
      </c>
      <c r="C6" s="15"/>
      <c r="D6" s="15"/>
      <c r="E6" s="5"/>
      <c r="F6" s="180" t="s">
        <v>305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200" t="s">
        <v>200</v>
      </c>
      <c r="C8" s="234" t="s">
        <v>103</v>
      </c>
      <c r="D8" s="5"/>
      <c r="E8" s="234" t="s">
        <v>103</v>
      </c>
      <c r="F8" s="5"/>
      <c r="G8" s="181" t="s">
        <v>103</v>
      </c>
      <c r="H8" s="5"/>
      <c r="I8" s="234" t="s">
        <v>103</v>
      </c>
      <c r="J8" s="5"/>
      <c r="K8" s="6"/>
    </row>
    <row r="9">
      <c r="A9" s="149">
        <v>2.0</v>
      </c>
      <c r="B9" s="200" t="s">
        <v>29</v>
      </c>
      <c r="C9" s="181" t="s">
        <v>103</v>
      </c>
      <c r="D9" s="5"/>
      <c r="E9" s="181" t="s">
        <v>103</v>
      </c>
      <c r="F9" s="5"/>
      <c r="G9" s="181" t="s">
        <v>103</v>
      </c>
      <c r="H9" s="5"/>
      <c r="I9" s="181" t="s">
        <v>103</v>
      </c>
      <c r="J9" s="5"/>
      <c r="K9" s="6"/>
    </row>
    <row r="10">
      <c r="A10" s="149">
        <v>3.0</v>
      </c>
      <c r="B10" s="200" t="s">
        <v>202</v>
      </c>
      <c r="C10" s="150">
        <v>0.3541666666666667</v>
      </c>
      <c r="D10" s="5"/>
      <c r="E10" s="150">
        <v>0.5034722222222222</v>
      </c>
      <c r="F10" s="5"/>
      <c r="G10" s="150">
        <v>0.5506944444444445</v>
      </c>
      <c r="H10" s="5"/>
      <c r="I10" s="150">
        <v>0.7506944444444444</v>
      </c>
      <c r="J10" s="5"/>
      <c r="K10" s="6"/>
    </row>
    <row r="11">
      <c r="A11" s="149">
        <v>4.0</v>
      </c>
      <c r="B11" s="200" t="s">
        <v>58</v>
      </c>
      <c r="C11" s="150">
        <v>0.3486111111111111</v>
      </c>
      <c r="D11" s="5"/>
      <c r="E11" s="150">
        <v>0.5020833333333333</v>
      </c>
      <c r="F11" s="5"/>
      <c r="G11" s="150">
        <v>0.5493055555555556</v>
      </c>
      <c r="H11" s="5"/>
      <c r="I11" s="150">
        <v>0.7486111111111111</v>
      </c>
      <c r="J11" s="5"/>
      <c r="K11" s="6"/>
    </row>
    <row r="12">
      <c r="A12" s="149">
        <v>5.0</v>
      </c>
      <c r="B12" s="200" t="s">
        <v>284</v>
      </c>
      <c r="C12" s="150">
        <v>0.34930555555555554</v>
      </c>
      <c r="D12" s="5"/>
      <c r="E12" s="150">
        <v>0.5006944444444444</v>
      </c>
      <c r="F12" s="5"/>
      <c r="G12" s="150">
        <v>0.5465277777777777</v>
      </c>
      <c r="H12" s="5"/>
      <c r="I12" s="150">
        <v>0.7458333333333333</v>
      </c>
      <c r="J12" s="5"/>
      <c r="K12" s="6"/>
    </row>
    <row r="13">
      <c r="A13" s="149">
        <v>6.0</v>
      </c>
      <c r="B13" s="200" t="s">
        <v>19</v>
      </c>
      <c r="C13" s="150">
        <v>0.34791666666666665</v>
      </c>
      <c r="D13" s="5"/>
      <c r="E13" s="150">
        <v>0.5020833333333333</v>
      </c>
      <c r="F13" s="5"/>
      <c r="G13" s="150">
        <v>0.5486111111111112</v>
      </c>
      <c r="H13" s="5"/>
      <c r="I13" s="150">
        <v>0.7465277777777778</v>
      </c>
      <c r="J13" s="5"/>
      <c r="K13" s="6"/>
    </row>
    <row r="14">
      <c r="A14" s="149">
        <v>7.0</v>
      </c>
      <c r="B14" s="200" t="s">
        <v>201</v>
      </c>
      <c r="C14" s="150">
        <v>0.34652777777777777</v>
      </c>
      <c r="D14" s="5"/>
      <c r="E14" s="150">
        <v>0.5534722222222223</v>
      </c>
      <c r="F14" s="5"/>
      <c r="G14" s="150">
        <v>0.5993055555555555</v>
      </c>
      <c r="H14" s="5"/>
      <c r="I14" s="150">
        <v>0.7479166666666667</v>
      </c>
      <c r="J14" s="5"/>
      <c r="K14" s="6"/>
    </row>
    <row r="15">
      <c r="A15" s="149">
        <v>8.0</v>
      </c>
      <c r="B15" s="200" t="s">
        <v>200</v>
      </c>
      <c r="C15" s="181" t="s">
        <v>103</v>
      </c>
      <c r="D15" s="5"/>
      <c r="E15" s="181" t="s">
        <v>103</v>
      </c>
      <c r="F15" s="5"/>
      <c r="G15" s="181" t="s">
        <v>103</v>
      </c>
      <c r="H15" s="5"/>
      <c r="I15" s="181" t="s">
        <v>103</v>
      </c>
      <c r="J15" s="5"/>
      <c r="K15" s="6"/>
    </row>
    <row r="16">
      <c r="A16" s="149">
        <v>9.0</v>
      </c>
      <c r="B16" s="200" t="s">
        <v>29</v>
      </c>
      <c r="C16" s="181" t="s">
        <v>103</v>
      </c>
      <c r="D16" s="5"/>
      <c r="E16" s="181" t="s">
        <v>103</v>
      </c>
      <c r="F16" s="5"/>
      <c r="G16" s="181" t="s">
        <v>103</v>
      </c>
      <c r="H16" s="5"/>
      <c r="I16" s="181" t="s">
        <v>103</v>
      </c>
      <c r="J16" s="5"/>
      <c r="K16" s="6"/>
    </row>
    <row r="17">
      <c r="A17" s="149">
        <v>10.0</v>
      </c>
      <c r="B17" s="200" t="s">
        <v>202</v>
      </c>
      <c r="C17" s="150">
        <v>0.38394675925925925</v>
      </c>
      <c r="D17" s="5"/>
      <c r="E17" s="150">
        <v>0.502800925925926</v>
      </c>
      <c r="F17" s="5"/>
      <c r="G17" s="150">
        <v>0.5502430555555555</v>
      </c>
      <c r="H17" s="5"/>
      <c r="I17" s="150">
        <v>0.7468171296296297</v>
      </c>
      <c r="J17" s="5"/>
      <c r="K17" s="6"/>
    </row>
    <row r="18">
      <c r="A18" s="149">
        <v>11.0</v>
      </c>
      <c r="B18" s="200" t="s">
        <v>58</v>
      </c>
      <c r="C18" s="150">
        <v>0.37645833333333334</v>
      </c>
      <c r="D18" s="5"/>
      <c r="E18" s="150">
        <v>0.5022453703703704</v>
      </c>
      <c r="F18" s="5"/>
      <c r="G18" s="150">
        <v>0.5481365740740741</v>
      </c>
      <c r="H18" s="5"/>
      <c r="I18" s="150">
        <v>0.7484027777777778</v>
      </c>
      <c r="J18" s="5"/>
      <c r="K18" s="6"/>
    </row>
    <row r="19">
      <c r="A19" s="149">
        <v>12.0</v>
      </c>
      <c r="B19" s="200" t="s">
        <v>284</v>
      </c>
      <c r="C19" s="150">
        <v>0.39208333333333334</v>
      </c>
      <c r="D19" s="5"/>
      <c r="E19" s="150">
        <v>0.5012152777777777</v>
      </c>
      <c r="F19" s="5"/>
      <c r="G19" s="150">
        <v>0.5485069444444445</v>
      </c>
      <c r="H19" s="5"/>
      <c r="I19" s="150">
        <v>0.7499537037037037</v>
      </c>
      <c r="J19" s="5"/>
      <c r="K19" s="6"/>
      <c r="L19" s="229"/>
    </row>
    <row r="20">
      <c r="A20" s="149">
        <v>13.0</v>
      </c>
      <c r="B20" s="200" t="s">
        <v>19</v>
      </c>
      <c r="C20" s="150">
        <v>0.37853009259259257</v>
      </c>
      <c r="D20" s="5"/>
      <c r="E20" s="150">
        <v>0.5023726851851852</v>
      </c>
      <c r="F20" s="5"/>
      <c r="G20" s="150">
        <v>0.5511689814814815</v>
      </c>
      <c r="H20" s="5"/>
      <c r="I20" s="150">
        <v>0.746550925925926</v>
      </c>
      <c r="J20" s="5"/>
      <c r="K20" s="6"/>
    </row>
    <row r="21">
      <c r="A21" s="149">
        <v>14.0</v>
      </c>
      <c r="B21" s="200" t="s">
        <v>201</v>
      </c>
      <c r="C21" s="150">
        <v>0.37431712962962965</v>
      </c>
      <c r="D21" s="5"/>
      <c r="E21" s="150">
        <v>0.5007060185185185</v>
      </c>
      <c r="F21" s="5"/>
      <c r="G21" s="150">
        <v>0.5472800925925926</v>
      </c>
      <c r="H21" s="5"/>
      <c r="I21" s="150">
        <v>0.7463888888888889</v>
      </c>
      <c r="J21" s="5"/>
      <c r="K21" s="6"/>
    </row>
    <row r="22">
      <c r="A22" s="149">
        <v>15.0</v>
      </c>
      <c r="B22" s="200" t="s">
        <v>200</v>
      </c>
      <c r="C22" s="150">
        <v>0.32564814814814813</v>
      </c>
      <c r="D22" s="5"/>
      <c r="E22" s="181" t="s">
        <v>103</v>
      </c>
      <c r="F22" s="5"/>
      <c r="G22" s="181" t="s">
        <v>103</v>
      </c>
      <c r="H22" s="5"/>
      <c r="I22" s="150">
        <v>0.5044907407407407</v>
      </c>
      <c r="J22" s="5"/>
      <c r="K22" s="6"/>
    </row>
    <row r="23">
      <c r="A23" s="149">
        <v>16.0</v>
      </c>
      <c r="B23" s="200" t="s">
        <v>29</v>
      </c>
      <c r="C23" s="181" t="s">
        <v>103</v>
      </c>
      <c r="D23" s="5"/>
      <c r="E23" s="181" t="s">
        <v>103</v>
      </c>
      <c r="F23" s="5"/>
      <c r="G23" s="181" t="s">
        <v>103</v>
      </c>
      <c r="H23" s="5"/>
      <c r="I23" s="181" t="s">
        <v>103</v>
      </c>
      <c r="J23" s="5"/>
      <c r="K23" s="6"/>
    </row>
    <row r="24">
      <c r="A24" s="149">
        <v>17.0</v>
      </c>
      <c r="B24" s="200" t="s">
        <v>202</v>
      </c>
      <c r="C24" s="150">
        <v>0.3325462962962963</v>
      </c>
      <c r="D24" s="5"/>
      <c r="E24" s="150">
        <v>0.5024537037037037</v>
      </c>
      <c r="F24" s="5"/>
      <c r="G24" s="150">
        <v>0.5460532407407407</v>
      </c>
      <c r="H24" s="5"/>
      <c r="I24" s="150">
        <v>0.7459259259259259</v>
      </c>
      <c r="J24" s="5"/>
      <c r="K24" s="6"/>
    </row>
    <row r="25">
      <c r="A25" s="149">
        <v>18.0</v>
      </c>
      <c r="B25" s="200" t="s">
        <v>58</v>
      </c>
      <c r="C25" s="150">
        <v>0.38188657407407406</v>
      </c>
      <c r="D25" s="5"/>
      <c r="E25" s="150">
        <v>0.5425462962962962</v>
      </c>
      <c r="F25" s="5"/>
      <c r="G25" s="150">
        <v>0.6412731481481482</v>
      </c>
      <c r="H25" s="5"/>
      <c r="I25" s="150">
        <v>0.7447222222222222</v>
      </c>
      <c r="J25" s="5"/>
      <c r="K25" s="6"/>
      <c r="L25" s="235"/>
    </row>
    <row r="26">
      <c r="A26" s="149">
        <v>19.0</v>
      </c>
      <c r="B26" s="200" t="s">
        <v>284</v>
      </c>
      <c r="C26" s="150">
        <v>0.3753125</v>
      </c>
      <c r="D26" s="5"/>
      <c r="E26" s="150">
        <v>0.5035300925925926</v>
      </c>
      <c r="F26" s="5"/>
      <c r="G26" s="150">
        <v>0.5507291666666667</v>
      </c>
      <c r="H26" s="5"/>
      <c r="I26" s="150">
        <v>0.7479629629629629</v>
      </c>
      <c r="J26" s="5"/>
      <c r="K26" s="127"/>
    </row>
    <row r="27">
      <c r="A27" s="149">
        <v>20.0</v>
      </c>
      <c r="B27" s="200" t="s">
        <v>19</v>
      </c>
      <c r="C27" s="150">
        <v>0.37938657407407406</v>
      </c>
      <c r="D27" s="5"/>
      <c r="E27" s="150">
        <v>0.5509606481481482</v>
      </c>
      <c r="F27" s="5"/>
      <c r="G27" s="150">
        <v>0.5983217592592592</v>
      </c>
      <c r="H27" s="5"/>
      <c r="I27" s="150">
        <v>0.7487152777777778</v>
      </c>
      <c r="J27" s="5"/>
      <c r="K27" s="6"/>
    </row>
    <row r="28">
      <c r="A28" s="149">
        <v>21.0</v>
      </c>
      <c r="B28" s="200" t="s">
        <v>201</v>
      </c>
      <c r="C28" s="150">
        <v>0.4335648148148148</v>
      </c>
      <c r="D28" s="5"/>
      <c r="E28" s="150">
        <v>0.5009027777777778</v>
      </c>
      <c r="F28" s="5"/>
      <c r="G28" s="150">
        <v>0.546724537037037</v>
      </c>
      <c r="H28" s="5"/>
      <c r="I28" s="150">
        <v>0.7471064814814815</v>
      </c>
      <c r="J28" s="5"/>
      <c r="K28" s="6"/>
    </row>
    <row r="29">
      <c r="A29" s="149">
        <v>22.0</v>
      </c>
      <c r="B29" s="200" t="s">
        <v>200</v>
      </c>
      <c r="C29" s="150">
        <v>0.3269444444444444</v>
      </c>
      <c r="D29" s="5"/>
      <c r="E29" s="181" t="s">
        <v>103</v>
      </c>
      <c r="F29" s="5"/>
      <c r="G29" s="181" t="s">
        <v>103</v>
      </c>
      <c r="H29" s="5"/>
      <c r="I29" s="150">
        <v>0.4992361111111111</v>
      </c>
      <c r="J29" s="5"/>
      <c r="K29" s="6"/>
    </row>
    <row r="30">
      <c r="A30" s="149">
        <v>23.0</v>
      </c>
      <c r="B30" s="200" t="s">
        <v>29</v>
      </c>
      <c r="C30" s="181" t="s">
        <v>103</v>
      </c>
      <c r="D30" s="5"/>
      <c r="E30" s="181" t="s">
        <v>103</v>
      </c>
      <c r="F30" s="5"/>
      <c r="G30" s="181" t="s">
        <v>103</v>
      </c>
      <c r="H30" s="5"/>
      <c r="I30" s="181" t="s">
        <v>103</v>
      </c>
      <c r="J30" s="5"/>
      <c r="K30" s="6"/>
    </row>
    <row r="31">
      <c r="A31" s="149">
        <v>24.0</v>
      </c>
      <c r="B31" s="200" t="s">
        <v>202</v>
      </c>
      <c r="C31" s="150">
        <v>0.34908564814814813</v>
      </c>
      <c r="D31" s="5"/>
      <c r="E31" s="150">
        <v>0.5021527777777778</v>
      </c>
      <c r="F31" s="5"/>
      <c r="G31" s="150">
        <v>0.5488425925925926</v>
      </c>
      <c r="H31" s="5"/>
      <c r="I31" s="150">
        <v>0.7478356481481482</v>
      </c>
      <c r="J31" s="5"/>
      <c r="K31" s="6"/>
    </row>
    <row r="32">
      <c r="A32" s="149">
        <v>25.0</v>
      </c>
      <c r="B32" s="200" t="s">
        <v>58</v>
      </c>
      <c r="C32" s="150">
        <v>0.34835648148148146</v>
      </c>
      <c r="D32" s="5"/>
      <c r="E32" s="150">
        <v>0.5020949074074074</v>
      </c>
      <c r="F32" s="5"/>
      <c r="G32" s="150">
        <v>0.5486921296296297</v>
      </c>
      <c r="H32" s="5"/>
      <c r="I32" s="150">
        <v>0.7496064814814815</v>
      </c>
      <c r="J32" s="5"/>
      <c r="K32" s="6"/>
    </row>
    <row r="33">
      <c r="A33" s="149">
        <v>26.0</v>
      </c>
      <c r="B33" s="200" t="s">
        <v>284</v>
      </c>
      <c r="C33" s="150">
        <v>0.3502546296296296</v>
      </c>
      <c r="D33" s="5"/>
      <c r="E33" s="150">
        <v>0.5034837962962962</v>
      </c>
      <c r="F33" s="5"/>
      <c r="G33" s="150">
        <v>0.5493055555555556</v>
      </c>
      <c r="H33" s="5"/>
      <c r="I33" s="150">
        <v>0.7481018518518519</v>
      </c>
      <c r="J33" s="5"/>
      <c r="K33" s="6"/>
    </row>
    <row r="34">
      <c r="A34" s="149">
        <v>27.0</v>
      </c>
      <c r="B34" s="200" t="s">
        <v>19</v>
      </c>
      <c r="C34" s="150">
        <v>0.3502546296296296</v>
      </c>
      <c r="D34" s="5"/>
      <c r="E34" s="150">
        <v>0.5020833333333333</v>
      </c>
      <c r="F34" s="5"/>
      <c r="G34" s="150">
        <v>0.55</v>
      </c>
      <c r="H34" s="5"/>
      <c r="I34" s="150">
        <v>0.7513888888888889</v>
      </c>
      <c r="J34" s="5"/>
      <c r="K34" s="6"/>
    </row>
    <row r="35">
      <c r="A35" s="149">
        <v>28.0</v>
      </c>
      <c r="B35" s="200" t="s">
        <v>201</v>
      </c>
      <c r="C35" s="150">
        <v>0.4479513888888889</v>
      </c>
      <c r="D35" s="5"/>
      <c r="E35" s="150">
        <v>0.5566203703703704</v>
      </c>
      <c r="F35" s="5"/>
      <c r="G35" s="150">
        <v>0.600949074074074</v>
      </c>
      <c r="H35" s="5"/>
      <c r="I35" s="150">
        <v>0.7486805555555556</v>
      </c>
      <c r="J35" s="5"/>
      <c r="K35" s="6"/>
    </row>
    <row r="36">
      <c r="A36" s="103" t="s">
        <v>31</v>
      </c>
      <c r="B36" s="15"/>
      <c r="C36" s="15"/>
      <c r="D36" s="15"/>
      <c r="E36" s="15"/>
      <c r="F36" s="15"/>
      <c r="G36" s="15"/>
      <c r="H36" s="15"/>
      <c r="I36" s="15"/>
      <c r="J36" s="5"/>
      <c r="K36" s="6"/>
    </row>
    <row r="37">
      <c r="A37" s="107" t="s">
        <v>306</v>
      </c>
      <c r="B37" s="15"/>
      <c r="C37" s="15"/>
      <c r="D37" s="15"/>
      <c r="E37" s="15"/>
      <c r="F37" s="15"/>
      <c r="G37" s="15"/>
      <c r="H37" s="15"/>
      <c r="I37" s="15"/>
      <c r="J37" s="5"/>
      <c r="K37" s="6"/>
    </row>
    <row r="38">
      <c r="A38" s="107" t="s">
        <v>307</v>
      </c>
      <c r="B38" s="15"/>
      <c r="C38" s="15"/>
      <c r="D38" s="15"/>
      <c r="E38" s="15"/>
      <c r="F38" s="15"/>
      <c r="G38" s="15"/>
      <c r="H38" s="15"/>
      <c r="I38" s="15"/>
      <c r="J38" s="5"/>
      <c r="K38" s="6"/>
    </row>
    <row r="39">
      <c r="A39" s="132" t="s">
        <v>308</v>
      </c>
      <c r="B39" s="3"/>
      <c r="C39" s="3"/>
      <c r="D39" s="3"/>
      <c r="E39" s="3"/>
      <c r="F39" s="3"/>
      <c r="G39" s="3"/>
      <c r="H39" s="3"/>
      <c r="I39" s="3"/>
      <c r="J39" s="2"/>
      <c r="K39" s="6"/>
    </row>
    <row r="40">
      <c r="A40" s="133" t="s">
        <v>35</v>
      </c>
      <c r="B40" s="134"/>
      <c r="C40" s="134"/>
      <c r="D40" s="134"/>
      <c r="E40" s="134"/>
      <c r="F40" s="134"/>
      <c r="G40" s="3"/>
      <c r="H40" s="134"/>
      <c r="I40" s="134"/>
      <c r="J40" s="135"/>
      <c r="K40" s="6"/>
    </row>
    <row r="41">
      <c r="A41" s="136"/>
      <c r="B41" s="137"/>
      <c r="C41" s="137"/>
      <c r="D41" s="137"/>
      <c r="F41" s="137"/>
      <c r="H41" s="137"/>
      <c r="I41" s="137"/>
      <c r="J41" s="138"/>
      <c r="K41" s="6"/>
    </row>
    <row r="42">
      <c r="A42" s="139" t="s">
        <v>36</v>
      </c>
      <c r="B42" s="137"/>
      <c r="C42" s="140" t="s">
        <v>37</v>
      </c>
      <c r="D42" s="137"/>
      <c r="F42" s="137"/>
      <c r="H42" s="137"/>
      <c r="I42" s="137"/>
      <c r="J42" s="138"/>
      <c r="K42" s="6"/>
    </row>
    <row r="43">
      <c r="A43" s="58"/>
      <c r="B43" s="59"/>
      <c r="C43" s="59"/>
      <c r="D43" s="59"/>
      <c r="E43" s="11"/>
      <c r="F43" s="59"/>
      <c r="G43" s="11"/>
      <c r="H43" s="59"/>
      <c r="I43" s="59"/>
      <c r="J43" s="60"/>
      <c r="K43" s="6"/>
    </row>
  </sheetData>
  <mergeCells count="137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D42:E42"/>
    <mergeCell ref="F42:G42"/>
    <mergeCell ref="D43:E43"/>
    <mergeCell ref="F43:G43"/>
    <mergeCell ref="A36:J36"/>
    <mergeCell ref="A37:J37"/>
    <mergeCell ref="A38:J38"/>
    <mergeCell ref="A39:J39"/>
    <mergeCell ref="F40:G40"/>
    <mergeCell ref="D41:E41"/>
    <mergeCell ref="F41:G41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75"/>
    <col customWidth="1" min="3" max="3" width="5.63"/>
    <col customWidth="1" min="4" max="4" width="8.13"/>
    <col customWidth="1" min="5" max="5" width="9.0"/>
    <col customWidth="1" min="6" max="6" width="5.0"/>
    <col customWidth="1" min="7" max="7" width="8.0"/>
    <col customWidth="1" min="8" max="8" width="4.75"/>
    <col customWidth="1" min="10" max="10" width="8.63"/>
  </cols>
  <sheetData>
    <row r="1">
      <c r="A1" s="169" t="s">
        <v>0</v>
      </c>
      <c r="B1" s="3"/>
      <c r="C1" s="170" t="s">
        <v>1</v>
      </c>
      <c r="D1" s="3"/>
      <c r="E1" s="3"/>
      <c r="F1" s="3"/>
      <c r="G1" s="3"/>
      <c r="H1" s="3"/>
      <c r="I1" s="171" t="s">
        <v>2</v>
      </c>
      <c r="J1" s="236"/>
      <c r="K1" s="6"/>
    </row>
    <row r="2">
      <c r="A2" s="7"/>
      <c r="C2" s="7"/>
      <c r="I2" s="171" t="s">
        <v>3</v>
      </c>
      <c r="J2" s="236"/>
      <c r="K2" s="6"/>
    </row>
    <row r="3">
      <c r="A3" s="7"/>
      <c r="C3" s="7"/>
      <c r="I3" s="171" t="s">
        <v>4</v>
      </c>
      <c r="J3" s="236"/>
      <c r="K3" s="6"/>
    </row>
    <row r="4">
      <c r="A4" s="172" t="s">
        <v>5</v>
      </c>
      <c r="B4" s="214" t="s">
        <v>309</v>
      </c>
      <c r="C4" s="15"/>
      <c r="D4" s="15"/>
      <c r="E4" s="15"/>
      <c r="F4" s="15"/>
      <c r="G4" s="215"/>
      <c r="H4" s="3"/>
      <c r="I4" s="215"/>
      <c r="J4" s="216"/>
      <c r="K4" s="6"/>
    </row>
    <row r="5">
      <c r="A5" s="175" t="s">
        <v>7</v>
      </c>
      <c r="B5" s="217" t="s">
        <v>52</v>
      </c>
      <c r="C5" s="3"/>
      <c r="D5" s="3"/>
      <c r="E5" s="3"/>
      <c r="F5" s="177" t="s">
        <v>9</v>
      </c>
      <c r="G5" s="237"/>
      <c r="H5" s="238"/>
      <c r="I5" s="238"/>
      <c r="J5" s="239"/>
      <c r="K5" s="6"/>
    </row>
    <row r="6">
      <c r="A6" s="218" t="s">
        <v>10</v>
      </c>
      <c r="B6" s="176" t="s">
        <v>304</v>
      </c>
      <c r="C6" s="15"/>
      <c r="D6" s="15"/>
      <c r="E6" s="15"/>
      <c r="F6" s="240" t="s">
        <v>12</v>
      </c>
      <c r="G6" s="15"/>
      <c r="H6" s="15"/>
      <c r="I6" s="15"/>
      <c r="J6" s="5"/>
      <c r="K6" s="6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77" t="s">
        <v>15</v>
      </c>
      <c r="J7" s="5"/>
      <c r="K7" s="241"/>
    </row>
    <row r="8">
      <c r="A8" s="205">
        <v>1.0</v>
      </c>
      <c r="B8" s="199" t="s">
        <v>200</v>
      </c>
      <c r="C8" s="150">
        <v>0.33541666666666664</v>
      </c>
      <c r="D8" s="15"/>
      <c r="E8" s="147" t="s">
        <v>103</v>
      </c>
      <c r="F8" s="15"/>
      <c r="G8" s="147" t="s">
        <v>103</v>
      </c>
      <c r="H8" s="15"/>
      <c r="I8" s="150">
        <v>0.5111111111111111</v>
      </c>
      <c r="J8" s="5"/>
      <c r="K8" s="6"/>
    </row>
    <row r="9">
      <c r="A9" s="206">
        <v>2.0</v>
      </c>
      <c r="B9" s="200" t="s">
        <v>29</v>
      </c>
      <c r="C9" s="181" t="s">
        <v>103</v>
      </c>
      <c r="D9" s="15"/>
      <c r="E9" s="181" t="s">
        <v>103</v>
      </c>
      <c r="F9" s="15"/>
      <c r="G9" s="181" t="s">
        <v>103</v>
      </c>
      <c r="H9" s="15"/>
      <c r="I9" s="181" t="s">
        <v>103</v>
      </c>
      <c r="J9" s="5"/>
      <c r="K9" s="6"/>
    </row>
    <row r="10">
      <c r="A10" s="206">
        <v>3.0</v>
      </c>
      <c r="B10" s="201" t="s">
        <v>202</v>
      </c>
      <c r="C10" s="150">
        <v>0.35138888888888886</v>
      </c>
      <c r="D10" s="15"/>
      <c r="E10" s="150">
        <v>0.5513888888888889</v>
      </c>
      <c r="F10" s="15"/>
      <c r="G10" s="150">
        <v>0.6013888888888889</v>
      </c>
      <c r="H10" s="15"/>
      <c r="I10" s="150">
        <v>0.7506944444444444</v>
      </c>
      <c r="J10" s="5"/>
      <c r="K10" s="6"/>
    </row>
    <row r="11">
      <c r="A11" s="206">
        <v>4.0</v>
      </c>
      <c r="B11" s="199" t="s">
        <v>58</v>
      </c>
      <c r="C11" s="150">
        <v>0.34791666666666665</v>
      </c>
      <c r="D11" s="15"/>
      <c r="E11" s="150">
        <v>0.5555555555555556</v>
      </c>
      <c r="F11" s="15"/>
      <c r="G11" s="150">
        <v>0.5958333333333333</v>
      </c>
      <c r="H11" s="15"/>
      <c r="I11" s="242"/>
      <c r="J11" s="5"/>
      <c r="K11" s="6"/>
    </row>
    <row r="12">
      <c r="A12" s="206">
        <v>5.0</v>
      </c>
      <c r="B12" s="201" t="s">
        <v>284</v>
      </c>
      <c r="C12" s="150">
        <v>0.35138888888888886</v>
      </c>
      <c r="D12" s="15"/>
      <c r="E12" s="150">
        <v>0.5555555555555556</v>
      </c>
      <c r="F12" s="15"/>
      <c r="G12" s="150">
        <v>0.5972222222222222</v>
      </c>
      <c r="H12" s="15"/>
      <c r="I12" s="150">
        <v>0.7458333333333333</v>
      </c>
      <c r="J12" s="5"/>
      <c r="K12" s="6"/>
    </row>
    <row r="13">
      <c r="A13" s="206">
        <v>6.0</v>
      </c>
      <c r="B13" s="201" t="s">
        <v>19</v>
      </c>
      <c r="C13" s="150">
        <v>0.34791666666666665</v>
      </c>
      <c r="D13" s="15"/>
      <c r="E13" s="150">
        <v>0.5513888888888889</v>
      </c>
      <c r="F13" s="15"/>
      <c r="G13" s="150">
        <v>0.5923611111111111</v>
      </c>
      <c r="H13" s="15"/>
      <c r="I13" s="150">
        <v>0.7465277777777778</v>
      </c>
      <c r="J13" s="5"/>
      <c r="K13" s="6"/>
    </row>
    <row r="14">
      <c r="A14" s="206">
        <v>7.0</v>
      </c>
      <c r="B14" s="201" t="s">
        <v>201</v>
      </c>
      <c r="C14" s="150">
        <v>0.35833333333333334</v>
      </c>
      <c r="D14" s="15"/>
      <c r="E14" s="150">
        <v>0.4576388888888889</v>
      </c>
      <c r="F14" s="15"/>
      <c r="G14" s="242"/>
      <c r="H14" s="15"/>
      <c r="I14" s="242"/>
      <c r="J14" s="5"/>
      <c r="K14" s="6"/>
    </row>
    <row r="15">
      <c r="A15" s="206">
        <v>8.0</v>
      </c>
      <c r="B15" s="199" t="s">
        <v>200</v>
      </c>
      <c r="C15" s="150">
        <v>0.3333333333333333</v>
      </c>
      <c r="D15" s="15"/>
      <c r="E15" s="147" t="s">
        <v>103</v>
      </c>
      <c r="F15" s="15"/>
      <c r="G15" s="147" t="s">
        <v>103</v>
      </c>
      <c r="H15" s="15"/>
      <c r="I15" s="150">
        <v>0.4955555555555556</v>
      </c>
      <c r="J15" s="5"/>
      <c r="K15" s="6"/>
    </row>
    <row r="16">
      <c r="A16" s="206">
        <v>9.0</v>
      </c>
      <c r="B16" s="200" t="s">
        <v>29</v>
      </c>
      <c r="C16" s="181" t="s">
        <v>103</v>
      </c>
      <c r="D16" s="15"/>
      <c r="E16" s="181" t="s">
        <v>103</v>
      </c>
      <c r="F16" s="15"/>
      <c r="G16" s="181" t="s">
        <v>103</v>
      </c>
      <c r="H16" s="15"/>
      <c r="I16" s="181" t="s">
        <v>103</v>
      </c>
      <c r="J16" s="5"/>
      <c r="K16" s="6"/>
    </row>
    <row r="17">
      <c r="A17" s="206">
        <v>10.0</v>
      </c>
      <c r="B17" s="201" t="s">
        <v>202</v>
      </c>
      <c r="C17" s="150">
        <v>0.3502199074074074</v>
      </c>
      <c r="D17" s="15"/>
      <c r="E17" s="150">
        <v>0.554537037037037</v>
      </c>
      <c r="F17" s="15"/>
      <c r="G17" s="150">
        <v>0.6124305555555556</v>
      </c>
      <c r="H17" s="15"/>
      <c r="I17" s="150">
        <v>0.7471412037037037</v>
      </c>
      <c r="J17" s="5"/>
      <c r="K17" s="6"/>
    </row>
    <row r="18">
      <c r="A18" s="206">
        <v>11.0</v>
      </c>
      <c r="B18" s="199" t="s">
        <v>58</v>
      </c>
      <c r="C18" s="150">
        <v>0.34875</v>
      </c>
      <c r="D18" s="15"/>
      <c r="E18" s="150">
        <v>0.5654166666666667</v>
      </c>
      <c r="F18" s="15"/>
      <c r="G18" s="150">
        <v>0.6069212962962963</v>
      </c>
      <c r="H18" s="15"/>
      <c r="I18" s="150">
        <v>0.7491666666666666</v>
      </c>
      <c r="J18" s="5"/>
      <c r="K18" s="6"/>
    </row>
    <row r="19">
      <c r="A19" s="206">
        <v>12.0</v>
      </c>
      <c r="B19" s="200" t="s">
        <v>284</v>
      </c>
      <c r="C19" s="243">
        <v>0.350625</v>
      </c>
      <c r="D19" s="3"/>
      <c r="E19" s="243">
        <v>0.5493518518518519</v>
      </c>
      <c r="F19" s="3"/>
      <c r="G19" s="243">
        <v>0.5917708333333334</v>
      </c>
      <c r="H19" s="3"/>
      <c r="I19" s="243">
        <v>0.7493402777777778</v>
      </c>
      <c r="J19" s="2"/>
      <c r="K19" s="6"/>
    </row>
    <row r="20">
      <c r="A20" s="206">
        <v>13.0</v>
      </c>
      <c r="B20" s="200" t="s">
        <v>19</v>
      </c>
      <c r="C20" s="150">
        <v>0.34824074074074074</v>
      </c>
      <c r="D20" s="5"/>
      <c r="E20" s="150">
        <v>0.5518171296296296</v>
      </c>
      <c r="F20" s="5"/>
      <c r="G20" s="150">
        <v>0.5932523148148148</v>
      </c>
      <c r="H20" s="5"/>
      <c r="I20" s="150">
        <v>0.7465740740740741</v>
      </c>
      <c r="J20" s="5"/>
      <c r="K20" s="6"/>
    </row>
    <row r="21">
      <c r="A21" s="206">
        <v>14.0</v>
      </c>
      <c r="B21" s="201" t="s">
        <v>201</v>
      </c>
      <c r="C21" s="150">
        <v>0.3565625</v>
      </c>
      <c r="D21" s="15"/>
      <c r="E21" s="150">
        <v>0.5635648148148148</v>
      </c>
      <c r="F21" s="15"/>
      <c r="G21" s="147" t="s">
        <v>103</v>
      </c>
      <c r="H21" s="15"/>
      <c r="I21" s="150">
        <v>0.6083912037037037</v>
      </c>
      <c r="J21" s="5"/>
      <c r="K21" s="6"/>
    </row>
    <row r="22">
      <c r="A22" s="206">
        <v>15.0</v>
      </c>
      <c r="B22" s="199" t="s">
        <v>200</v>
      </c>
      <c r="C22" s="150">
        <v>0.3336458333333333</v>
      </c>
      <c r="D22" s="15"/>
      <c r="E22" s="147" t="s">
        <v>103</v>
      </c>
      <c r="F22" s="15"/>
      <c r="G22" s="147" t="s">
        <v>103</v>
      </c>
      <c r="H22" s="15"/>
      <c r="I22" s="150">
        <v>0.4952662037037037</v>
      </c>
      <c r="J22" s="5"/>
      <c r="K22" s="6"/>
    </row>
    <row r="23">
      <c r="A23" s="206">
        <v>16.0</v>
      </c>
      <c r="B23" s="200" t="s">
        <v>29</v>
      </c>
      <c r="C23" s="181" t="s">
        <v>103</v>
      </c>
      <c r="D23" s="15"/>
      <c r="E23" s="181" t="s">
        <v>103</v>
      </c>
      <c r="F23" s="15"/>
      <c r="G23" s="181" t="s">
        <v>103</v>
      </c>
      <c r="H23" s="15"/>
      <c r="I23" s="181" t="s">
        <v>103</v>
      </c>
      <c r="J23" s="5"/>
      <c r="K23" s="6"/>
    </row>
    <row r="24">
      <c r="A24" s="206">
        <v>17.0</v>
      </c>
      <c r="B24" s="201" t="s">
        <v>202</v>
      </c>
      <c r="C24" s="150">
        <v>0.3534375</v>
      </c>
      <c r="D24" s="15"/>
      <c r="E24" s="147" t="s">
        <v>103</v>
      </c>
      <c r="F24" s="15"/>
      <c r="G24" s="150">
        <v>0.6232407407407408</v>
      </c>
      <c r="H24" s="15"/>
      <c r="I24" s="150">
        <v>0.7459606481481481</v>
      </c>
      <c r="J24" s="5"/>
      <c r="K24" s="6"/>
    </row>
    <row r="25">
      <c r="A25" s="206">
        <v>18.0</v>
      </c>
      <c r="B25" s="199" t="s">
        <v>58</v>
      </c>
      <c r="C25" s="150">
        <v>0.3455787037037037</v>
      </c>
      <c r="D25" s="15"/>
      <c r="E25" s="150">
        <v>0.5424074074074074</v>
      </c>
      <c r="F25" s="15"/>
      <c r="G25" s="150">
        <v>0.5834143518518519</v>
      </c>
      <c r="H25" s="15"/>
      <c r="I25" s="244" t="s">
        <v>310</v>
      </c>
      <c r="J25" s="5"/>
      <c r="K25" s="6"/>
    </row>
    <row r="26">
      <c r="A26" s="206">
        <v>19.0</v>
      </c>
      <c r="B26" s="200" t="s">
        <v>284</v>
      </c>
      <c r="C26" s="150">
        <v>0.3527777777777778</v>
      </c>
      <c r="D26" s="15"/>
      <c r="E26" s="150">
        <v>0.5525</v>
      </c>
      <c r="F26" s="15"/>
      <c r="G26" s="150">
        <v>0.5943518518518518</v>
      </c>
      <c r="H26" s="15"/>
      <c r="I26" s="150">
        <v>0.7479282407407407</v>
      </c>
      <c r="J26" s="5"/>
      <c r="K26" s="127"/>
    </row>
    <row r="27">
      <c r="A27" s="206">
        <v>20.0</v>
      </c>
      <c r="B27" s="200" t="s">
        <v>19</v>
      </c>
      <c r="C27" s="150">
        <v>0.36172453703703705</v>
      </c>
      <c r="D27" s="15"/>
      <c r="E27" s="147" t="s">
        <v>103</v>
      </c>
      <c r="F27" s="15"/>
      <c r="G27" s="147" t="s">
        <v>103</v>
      </c>
      <c r="H27" s="15"/>
      <c r="I27" s="150">
        <v>0.45949074074074076</v>
      </c>
      <c r="J27" s="5"/>
      <c r="K27" s="6"/>
      <c r="L27" s="235"/>
    </row>
    <row r="28">
      <c r="A28" s="206">
        <v>21.0</v>
      </c>
      <c r="B28" s="199" t="s">
        <v>201</v>
      </c>
      <c r="C28" s="150">
        <v>0.3514351851851852</v>
      </c>
      <c r="D28" s="15"/>
      <c r="E28" s="150">
        <v>0.5516319444444444</v>
      </c>
      <c r="F28" s="15"/>
      <c r="G28" s="150">
        <v>0.5920949074074074</v>
      </c>
      <c r="H28" s="15"/>
      <c r="I28" s="150">
        <v>0.7471527777777778</v>
      </c>
      <c r="J28" s="5"/>
      <c r="K28" s="6"/>
    </row>
    <row r="29">
      <c r="A29" s="206">
        <v>22.0</v>
      </c>
      <c r="B29" s="200" t="s">
        <v>200</v>
      </c>
      <c r="C29" s="150">
        <v>0.33391203703703703</v>
      </c>
      <c r="D29" s="15"/>
      <c r="E29" s="147" t="s">
        <v>103</v>
      </c>
      <c r="F29" s="15"/>
      <c r="G29" s="147" t="s">
        <v>103</v>
      </c>
      <c r="H29" s="15"/>
      <c r="I29" s="150">
        <v>0.4980324074074074</v>
      </c>
      <c r="J29" s="5"/>
      <c r="K29" s="6"/>
    </row>
    <row r="30">
      <c r="A30" s="206">
        <v>23.0</v>
      </c>
      <c r="B30" s="200" t="s">
        <v>29</v>
      </c>
      <c r="C30" s="181" t="s">
        <v>103</v>
      </c>
      <c r="D30" s="15"/>
      <c r="E30" s="181" t="s">
        <v>103</v>
      </c>
      <c r="F30" s="15"/>
      <c r="G30" s="181" t="s">
        <v>103</v>
      </c>
      <c r="H30" s="15"/>
      <c r="I30" s="181" t="s">
        <v>103</v>
      </c>
      <c r="J30" s="5"/>
      <c r="K30" s="6"/>
    </row>
    <row r="31">
      <c r="A31" s="206">
        <v>24.0</v>
      </c>
      <c r="B31" s="199" t="s">
        <v>202</v>
      </c>
      <c r="C31" s="150">
        <v>0.35479166666666667</v>
      </c>
      <c r="D31" s="15"/>
      <c r="E31" s="150">
        <v>0.5510648148148148</v>
      </c>
      <c r="F31" s="15"/>
      <c r="G31" s="150">
        <v>0.6230324074074074</v>
      </c>
      <c r="H31" s="15"/>
      <c r="I31" s="150">
        <v>0.7479629629629629</v>
      </c>
      <c r="J31" s="5"/>
      <c r="K31" s="6"/>
    </row>
    <row r="32">
      <c r="A32" s="206">
        <v>25.0</v>
      </c>
      <c r="B32" s="200" t="s">
        <v>58</v>
      </c>
      <c r="C32" s="150">
        <v>0.3545138888888889</v>
      </c>
      <c r="D32" s="15"/>
      <c r="E32" s="150">
        <v>0.5559722222222222</v>
      </c>
      <c r="F32" s="15"/>
      <c r="G32" s="150">
        <v>0.625625</v>
      </c>
      <c r="H32" s="15"/>
      <c r="I32" s="150">
        <v>0.749537037037037</v>
      </c>
      <c r="J32" s="5"/>
      <c r="K32" s="6"/>
      <c r="L32" s="235"/>
    </row>
    <row r="33">
      <c r="A33" s="206">
        <v>26.0</v>
      </c>
      <c r="B33" s="200" t="s">
        <v>284</v>
      </c>
      <c r="C33" s="150">
        <v>0.355</v>
      </c>
      <c r="D33" s="15"/>
      <c r="E33" s="150">
        <v>0.5459259259259259</v>
      </c>
      <c r="F33" s="15"/>
      <c r="G33" s="150"/>
      <c r="H33" s="15"/>
      <c r="I33" s="150">
        <v>0.5861111111111111</v>
      </c>
      <c r="J33" s="5"/>
      <c r="K33" s="124" t="s">
        <v>62</v>
      </c>
    </row>
    <row r="34">
      <c r="A34" s="208">
        <v>27.0</v>
      </c>
      <c r="B34" s="203" t="s">
        <v>19</v>
      </c>
      <c r="C34" s="150">
        <v>0.35024305555555557</v>
      </c>
      <c r="D34" s="15"/>
      <c r="E34" s="150">
        <v>0.5504282407407407</v>
      </c>
      <c r="F34" s="15"/>
      <c r="G34" s="150">
        <v>0.5920601851851852</v>
      </c>
      <c r="H34" s="15"/>
      <c r="I34" s="150">
        <v>0.7515856481481481</v>
      </c>
      <c r="J34" s="5"/>
      <c r="K34" s="6"/>
    </row>
    <row r="35">
      <c r="A35" s="149">
        <v>28.0</v>
      </c>
      <c r="B35" s="200" t="s">
        <v>201</v>
      </c>
      <c r="C35" s="245">
        <v>0.34625</v>
      </c>
      <c r="D35" s="15"/>
      <c r="E35" s="147" t="s">
        <v>103</v>
      </c>
      <c r="F35" s="15"/>
      <c r="G35" s="147" t="s">
        <v>103</v>
      </c>
      <c r="H35" s="15"/>
      <c r="I35" s="150">
        <v>0.4568402777777778</v>
      </c>
      <c r="J35" s="5"/>
      <c r="K35" s="6"/>
      <c r="L35" s="41"/>
    </row>
    <row r="36">
      <c r="A36" s="210" t="s">
        <v>31</v>
      </c>
      <c r="B36" s="11"/>
      <c r="C36" s="11"/>
      <c r="D36" s="11"/>
      <c r="E36" s="11"/>
      <c r="F36" s="11"/>
      <c r="G36" s="11"/>
      <c r="H36" s="11"/>
      <c r="I36" s="11"/>
      <c r="J36" s="10"/>
      <c r="K36" s="6"/>
    </row>
    <row r="37">
      <c r="A37" s="246" t="s">
        <v>311</v>
      </c>
      <c r="B37" s="247"/>
      <c r="C37" s="247"/>
      <c r="D37" s="247"/>
      <c r="E37" s="15"/>
      <c r="F37" s="247"/>
      <c r="G37" s="15"/>
      <c r="H37" s="247"/>
      <c r="I37" s="247"/>
      <c r="J37" s="248"/>
      <c r="K37" s="6"/>
    </row>
    <row r="38">
      <c r="A38" s="249" t="s">
        <v>312</v>
      </c>
      <c r="B38" s="15"/>
      <c r="C38" s="15"/>
      <c r="D38" s="15"/>
      <c r="E38" s="15"/>
      <c r="F38" s="15"/>
      <c r="G38" s="15"/>
      <c r="H38" s="15"/>
      <c r="I38" s="15"/>
      <c r="J38" s="5"/>
      <c r="K38" s="6"/>
    </row>
    <row r="39">
      <c r="A39" s="249" t="s">
        <v>313</v>
      </c>
      <c r="B39" s="15"/>
      <c r="C39" s="15"/>
      <c r="D39" s="15"/>
      <c r="E39" s="15"/>
      <c r="F39" s="15"/>
      <c r="G39" s="15"/>
      <c r="H39" s="15"/>
      <c r="I39" s="15"/>
      <c r="J39" s="5"/>
      <c r="K39" s="6"/>
    </row>
    <row r="40">
      <c r="A40" s="133" t="s">
        <v>35</v>
      </c>
      <c r="B40" s="134"/>
      <c r="C40" s="134"/>
      <c r="D40" s="134"/>
      <c r="E40" s="134"/>
      <c r="F40" s="134"/>
      <c r="G40" s="3"/>
      <c r="H40" s="134"/>
      <c r="I40" s="134"/>
      <c r="J40" s="135"/>
      <c r="K40" s="6"/>
    </row>
    <row r="41">
      <c r="A41" s="136"/>
      <c r="B41" s="137"/>
      <c r="C41" s="137"/>
      <c r="D41" s="137"/>
      <c r="F41" s="137"/>
      <c r="H41" s="137"/>
      <c r="I41" s="137"/>
      <c r="J41" s="138"/>
      <c r="K41" s="6"/>
    </row>
    <row r="42">
      <c r="A42" s="139" t="s">
        <v>36</v>
      </c>
      <c r="B42" s="137"/>
      <c r="C42" s="140" t="s">
        <v>37</v>
      </c>
      <c r="D42" s="137"/>
      <c r="F42" s="137"/>
      <c r="H42" s="137"/>
      <c r="I42" s="137"/>
      <c r="J42" s="138"/>
      <c r="K42" s="6"/>
    </row>
    <row r="43">
      <c r="A43" s="58"/>
      <c r="B43" s="59"/>
      <c r="C43" s="59"/>
      <c r="D43" s="59"/>
      <c r="E43" s="11"/>
      <c r="F43" s="59"/>
      <c r="G43" s="11"/>
      <c r="H43" s="59"/>
      <c r="I43" s="59"/>
      <c r="J43" s="60"/>
      <c r="K43" s="6"/>
    </row>
  </sheetData>
  <mergeCells count="135">
    <mergeCell ref="C12:D12"/>
    <mergeCell ref="C13:D13"/>
    <mergeCell ref="E13:F13"/>
    <mergeCell ref="G13:H13"/>
    <mergeCell ref="I13:J13"/>
    <mergeCell ref="C14:D14"/>
    <mergeCell ref="E14:F14"/>
    <mergeCell ref="C15:D15"/>
    <mergeCell ref="E15:F15"/>
    <mergeCell ref="G15:H15"/>
    <mergeCell ref="I15:J15"/>
    <mergeCell ref="E16:F16"/>
    <mergeCell ref="G16:H16"/>
    <mergeCell ref="I16:J16"/>
    <mergeCell ref="G18:H18"/>
    <mergeCell ref="I18:J18"/>
    <mergeCell ref="C16:D16"/>
    <mergeCell ref="C17:D17"/>
    <mergeCell ref="E17:F17"/>
    <mergeCell ref="G17:H17"/>
    <mergeCell ref="I17:J17"/>
    <mergeCell ref="C18:D18"/>
    <mergeCell ref="E18:F18"/>
    <mergeCell ref="A1:B3"/>
    <mergeCell ref="C1:H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E8:F8"/>
    <mergeCell ref="G8:H8"/>
    <mergeCell ref="I8:J8"/>
    <mergeCell ref="G10:H10"/>
    <mergeCell ref="I10:J10"/>
    <mergeCell ref="C8:D8"/>
    <mergeCell ref="C9:D9"/>
    <mergeCell ref="E9:F9"/>
    <mergeCell ref="G9:H9"/>
    <mergeCell ref="I9:J9"/>
    <mergeCell ref="C10:D10"/>
    <mergeCell ref="E10:F10"/>
    <mergeCell ref="C11:D11"/>
    <mergeCell ref="E11:F11"/>
    <mergeCell ref="G11:H11"/>
    <mergeCell ref="I11:J11"/>
    <mergeCell ref="E12:F12"/>
    <mergeCell ref="G12:H12"/>
    <mergeCell ref="I12:J12"/>
    <mergeCell ref="G14:H14"/>
    <mergeCell ref="I14:J14"/>
    <mergeCell ref="G22:H22"/>
    <mergeCell ref="I22:J22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D41:E41"/>
    <mergeCell ref="D42:E42"/>
    <mergeCell ref="F42:G42"/>
    <mergeCell ref="D43:E43"/>
    <mergeCell ref="F43:G43"/>
    <mergeCell ref="A36:J36"/>
    <mergeCell ref="D37:E37"/>
    <mergeCell ref="F37:G37"/>
    <mergeCell ref="A38:J38"/>
    <mergeCell ref="A39:J39"/>
    <mergeCell ref="F40:G40"/>
    <mergeCell ref="F41:G41"/>
    <mergeCell ref="C19:D19"/>
    <mergeCell ref="E19:F19"/>
    <mergeCell ref="G19:H19"/>
    <mergeCell ref="I19:J19"/>
    <mergeCell ref="E20:F20"/>
    <mergeCell ref="G20:H20"/>
    <mergeCell ref="I20:J20"/>
    <mergeCell ref="C20:D20"/>
    <mergeCell ref="C21:D21"/>
    <mergeCell ref="E21:F21"/>
    <mergeCell ref="G21:H21"/>
    <mergeCell ref="I21:J21"/>
    <mergeCell ref="C22:D22"/>
    <mergeCell ref="E22:F22"/>
    <mergeCell ref="C23:D23"/>
    <mergeCell ref="E23:F23"/>
    <mergeCell ref="G23:H23"/>
    <mergeCell ref="I23:J23"/>
    <mergeCell ref="E24:F24"/>
    <mergeCell ref="G24:H24"/>
    <mergeCell ref="I24:J24"/>
    <mergeCell ref="G26:H26"/>
    <mergeCell ref="I26:J26"/>
    <mergeCell ref="C24:D24"/>
    <mergeCell ref="C25:D25"/>
    <mergeCell ref="E25:F25"/>
    <mergeCell ref="G25:H25"/>
    <mergeCell ref="I25:J25"/>
    <mergeCell ref="C26:D26"/>
    <mergeCell ref="E26:F26"/>
    <mergeCell ref="G30:H30"/>
    <mergeCell ref="I30:J30"/>
    <mergeCell ref="G34:H34"/>
    <mergeCell ref="I34:J34"/>
    <mergeCell ref="C35:D35"/>
    <mergeCell ref="E35:F35"/>
    <mergeCell ref="G35:H35"/>
    <mergeCell ref="I35:J3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8.38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</cols>
  <sheetData>
    <row r="1">
      <c r="A1" s="169" t="s">
        <v>0</v>
      </c>
      <c r="B1" s="3"/>
      <c r="C1" s="170" t="s">
        <v>1</v>
      </c>
      <c r="D1" s="3"/>
      <c r="E1" s="3"/>
      <c r="F1" s="3"/>
      <c r="G1" s="3"/>
      <c r="H1" s="3"/>
      <c r="I1" s="171" t="s">
        <v>2</v>
      </c>
      <c r="J1" s="5"/>
      <c r="K1" s="6"/>
    </row>
    <row r="2">
      <c r="A2" s="7"/>
      <c r="C2" s="7"/>
      <c r="I2" s="171" t="s">
        <v>3</v>
      </c>
      <c r="J2" s="5"/>
      <c r="K2" s="6"/>
    </row>
    <row r="3">
      <c r="A3" s="7"/>
      <c r="C3" s="7"/>
      <c r="I3" s="171" t="s">
        <v>4</v>
      </c>
      <c r="J3" s="5"/>
      <c r="K3" s="6"/>
    </row>
    <row r="4">
      <c r="A4" s="172" t="s">
        <v>5</v>
      </c>
      <c r="B4" s="214" t="s">
        <v>181</v>
      </c>
      <c r="C4" s="15"/>
      <c r="D4" s="15"/>
      <c r="E4" s="15"/>
      <c r="F4" s="15"/>
      <c r="G4" s="215"/>
      <c r="H4" s="3"/>
      <c r="I4" s="215"/>
      <c r="J4" s="216"/>
      <c r="K4" s="6"/>
    </row>
    <row r="5">
      <c r="A5" s="175" t="s">
        <v>7</v>
      </c>
      <c r="B5" s="217" t="s">
        <v>41</v>
      </c>
      <c r="C5" s="3"/>
      <c r="D5" s="3"/>
      <c r="E5" s="3"/>
      <c r="F5" s="177" t="s">
        <v>9</v>
      </c>
      <c r="G5" s="178"/>
      <c r="H5" s="179"/>
      <c r="I5" s="179"/>
      <c r="J5" s="179"/>
      <c r="K5" s="6"/>
    </row>
    <row r="6">
      <c r="A6" s="218" t="s">
        <v>10</v>
      </c>
      <c r="B6" s="176" t="s">
        <v>304</v>
      </c>
      <c r="C6" s="15"/>
      <c r="D6" s="15"/>
      <c r="E6" s="1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6"/>
    </row>
    <row r="8">
      <c r="A8" s="205">
        <v>1.0</v>
      </c>
      <c r="B8" s="199" t="s">
        <v>200</v>
      </c>
      <c r="C8" s="234" t="s">
        <v>103</v>
      </c>
      <c r="D8" s="15"/>
      <c r="E8" s="234" t="s">
        <v>103</v>
      </c>
      <c r="F8" s="15"/>
      <c r="G8" s="181" t="s">
        <v>103</v>
      </c>
      <c r="H8" s="15"/>
      <c r="I8" s="234" t="s">
        <v>103</v>
      </c>
      <c r="J8" s="5"/>
      <c r="K8" s="6"/>
    </row>
    <row r="9">
      <c r="A9" s="206">
        <v>2.0</v>
      </c>
      <c r="B9" s="200" t="s">
        <v>29</v>
      </c>
      <c r="C9" s="234" t="s">
        <v>103</v>
      </c>
      <c r="D9" s="15"/>
      <c r="E9" s="234" t="s">
        <v>103</v>
      </c>
      <c r="F9" s="15"/>
      <c r="G9" s="181" t="s">
        <v>103</v>
      </c>
      <c r="H9" s="15"/>
      <c r="I9" s="234" t="s">
        <v>103</v>
      </c>
      <c r="J9" s="5"/>
      <c r="K9" s="6"/>
    </row>
    <row r="10">
      <c r="A10" s="206">
        <v>3.0</v>
      </c>
      <c r="B10" s="201" t="s">
        <v>202</v>
      </c>
      <c r="C10" s="234" t="s">
        <v>103</v>
      </c>
      <c r="D10" s="15"/>
      <c r="E10" s="234" t="s">
        <v>103</v>
      </c>
      <c r="F10" s="15"/>
      <c r="G10" s="181" t="s">
        <v>103</v>
      </c>
      <c r="H10" s="15"/>
      <c r="I10" s="234" t="s">
        <v>103</v>
      </c>
      <c r="J10" s="5"/>
      <c r="K10" s="6"/>
    </row>
    <row r="11">
      <c r="A11" s="206">
        <v>4.0</v>
      </c>
      <c r="B11" s="199" t="s">
        <v>58</v>
      </c>
      <c r="C11" s="181" t="s">
        <v>103</v>
      </c>
      <c r="D11" s="15"/>
      <c r="E11" s="181" t="s">
        <v>103</v>
      </c>
      <c r="F11" s="15"/>
      <c r="G11" s="181" t="s">
        <v>103</v>
      </c>
      <c r="H11" s="15"/>
      <c r="I11" s="181" t="s">
        <v>103</v>
      </c>
      <c r="J11" s="5"/>
      <c r="K11" s="6"/>
    </row>
    <row r="12">
      <c r="A12" s="206">
        <v>5.0</v>
      </c>
      <c r="B12" s="201" t="s">
        <v>284</v>
      </c>
      <c r="C12" s="181" t="s">
        <v>103</v>
      </c>
      <c r="D12" s="15"/>
      <c r="E12" s="181" t="s">
        <v>103</v>
      </c>
      <c r="F12" s="15"/>
      <c r="G12" s="181" t="s">
        <v>103</v>
      </c>
      <c r="H12" s="15"/>
      <c r="I12" s="181" t="s">
        <v>103</v>
      </c>
      <c r="J12" s="5"/>
      <c r="K12" s="6"/>
    </row>
    <row r="13">
      <c r="A13" s="206">
        <v>6.0</v>
      </c>
      <c r="B13" s="201" t="s">
        <v>19</v>
      </c>
      <c r="C13" s="150">
        <v>0.34930555555555554</v>
      </c>
      <c r="D13" s="15"/>
      <c r="E13" s="150">
        <v>0.5</v>
      </c>
      <c r="F13" s="15"/>
      <c r="G13" s="150">
        <v>0.5416666666666666</v>
      </c>
      <c r="H13" s="15"/>
      <c r="I13" s="150">
        <v>0.7520833333333333</v>
      </c>
      <c r="J13" s="5"/>
      <c r="K13" s="6"/>
    </row>
    <row r="14">
      <c r="A14" s="206">
        <v>7.0</v>
      </c>
      <c r="B14" s="201" t="s">
        <v>201</v>
      </c>
      <c r="C14" s="150">
        <v>0.3541666666666667</v>
      </c>
      <c r="D14" s="15"/>
      <c r="E14" s="150">
        <v>0.5409722222222222</v>
      </c>
      <c r="F14" s="15"/>
      <c r="G14" s="150">
        <v>0.5826388888888889</v>
      </c>
      <c r="H14" s="15"/>
      <c r="I14" s="150">
        <v>0.7493055555555556</v>
      </c>
      <c r="J14" s="5"/>
      <c r="K14" s="6"/>
    </row>
    <row r="15">
      <c r="A15" s="206">
        <v>8.0</v>
      </c>
      <c r="B15" s="199" t="s">
        <v>200</v>
      </c>
      <c r="C15" s="150">
        <v>0.3326388888888889</v>
      </c>
      <c r="D15" s="15"/>
      <c r="E15" s="147" t="s">
        <v>103</v>
      </c>
      <c r="F15" s="15"/>
      <c r="G15" s="147" t="s">
        <v>103</v>
      </c>
      <c r="H15" s="15"/>
      <c r="I15" s="150">
        <v>0.49550925925925926</v>
      </c>
      <c r="J15" s="5"/>
      <c r="K15" s="6"/>
    </row>
    <row r="16">
      <c r="A16" s="206">
        <v>9.0</v>
      </c>
      <c r="B16" s="200" t="s">
        <v>29</v>
      </c>
      <c r="C16" s="181" t="s">
        <v>103</v>
      </c>
      <c r="D16" s="15"/>
      <c r="E16" s="181" t="s">
        <v>103</v>
      </c>
      <c r="F16" s="15"/>
      <c r="G16" s="181" t="s">
        <v>103</v>
      </c>
      <c r="H16" s="15"/>
      <c r="I16" s="181" t="s">
        <v>103</v>
      </c>
      <c r="J16" s="5"/>
      <c r="K16" s="6"/>
    </row>
    <row r="17">
      <c r="A17" s="206">
        <v>10.0</v>
      </c>
      <c r="B17" s="201" t="s">
        <v>202</v>
      </c>
      <c r="C17" s="150">
        <v>0.35032407407407407</v>
      </c>
      <c r="D17" s="15"/>
      <c r="E17" s="147" t="s">
        <v>103</v>
      </c>
      <c r="F17" s="15"/>
      <c r="G17" s="147" t="s">
        <v>103</v>
      </c>
      <c r="H17" s="15"/>
      <c r="I17" s="150">
        <v>0.7472916666666667</v>
      </c>
      <c r="J17" s="5"/>
      <c r="K17" s="6"/>
    </row>
    <row r="18">
      <c r="A18" s="206">
        <v>11.0</v>
      </c>
      <c r="B18" s="199" t="s">
        <v>58</v>
      </c>
      <c r="C18" s="150">
        <v>0.3488425925925926</v>
      </c>
      <c r="D18" s="15"/>
      <c r="E18" s="150">
        <v>0.5410069444444444</v>
      </c>
      <c r="F18" s="15"/>
      <c r="G18" s="150">
        <v>0.58125</v>
      </c>
      <c r="H18" s="15"/>
      <c r="I18" s="150">
        <v>0.7489351851851852</v>
      </c>
      <c r="J18" s="5"/>
      <c r="K18" s="6"/>
    </row>
    <row r="19">
      <c r="A19" s="206">
        <v>12.0</v>
      </c>
      <c r="B19" s="200" t="s">
        <v>284</v>
      </c>
      <c r="C19" s="150">
        <v>0.35055555555555556</v>
      </c>
      <c r="D19" s="15"/>
      <c r="E19" s="150">
        <v>0.49952546296296296</v>
      </c>
      <c r="F19" s="15"/>
      <c r="G19" s="150">
        <v>0.5403356481481482</v>
      </c>
      <c r="H19" s="15"/>
      <c r="I19" s="150">
        <v>0.7557291666666667</v>
      </c>
      <c r="J19" s="5"/>
      <c r="K19" s="6"/>
    </row>
    <row r="20">
      <c r="A20" s="206">
        <v>13.0</v>
      </c>
      <c r="B20" s="200" t="s">
        <v>19</v>
      </c>
      <c r="C20" s="150">
        <v>0.34832175925925923</v>
      </c>
      <c r="D20" s="15"/>
      <c r="E20" s="150">
        <v>0.5412037037037037</v>
      </c>
      <c r="F20" s="15"/>
      <c r="G20" s="150">
        <v>0.5867013888888889</v>
      </c>
      <c r="H20" s="15"/>
      <c r="I20" s="150">
        <v>0.7467708333333334</v>
      </c>
      <c r="J20" s="5"/>
      <c r="K20" s="6"/>
    </row>
    <row r="21">
      <c r="A21" s="206">
        <v>14.0</v>
      </c>
      <c r="B21" s="201" t="s">
        <v>201</v>
      </c>
      <c r="C21" s="150">
        <v>0.3565162037037037</v>
      </c>
      <c r="D21" s="15"/>
      <c r="E21" s="150">
        <v>0.5410069444444444</v>
      </c>
      <c r="F21" s="15"/>
      <c r="G21" s="150">
        <v>0.5799421296296297</v>
      </c>
      <c r="H21" s="15"/>
      <c r="I21" s="150">
        <v>0.7462847222222222</v>
      </c>
      <c r="J21" s="5"/>
      <c r="K21" s="6"/>
    </row>
    <row r="22">
      <c r="A22" s="206">
        <v>15.0</v>
      </c>
      <c r="B22" s="199" t="s">
        <v>200</v>
      </c>
      <c r="C22" s="150">
        <v>0.3257175925925926</v>
      </c>
      <c r="D22" s="15"/>
      <c r="E22" s="147" t="s">
        <v>103</v>
      </c>
      <c r="F22" s="15"/>
      <c r="G22" s="147" t="s">
        <v>103</v>
      </c>
      <c r="H22" s="15"/>
      <c r="I22" s="150">
        <v>0.4955324074074074</v>
      </c>
      <c r="J22" s="5"/>
      <c r="K22" s="6"/>
    </row>
    <row r="23">
      <c r="A23" s="206">
        <v>16.0</v>
      </c>
      <c r="B23" s="200" t="s">
        <v>29</v>
      </c>
      <c r="C23" s="181" t="s">
        <v>103</v>
      </c>
      <c r="D23" s="15"/>
      <c r="E23" s="181" t="s">
        <v>103</v>
      </c>
      <c r="F23" s="15"/>
      <c r="G23" s="181" t="s">
        <v>103</v>
      </c>
      <c r="H23" s="15"/>
      <c r="I23" s="181" t="s">
        <v>103</v>
      </c>
      <c r="J23" s="5"/>
      <c r="K23" s="6"/>
    </row>
    <row r="24">
      <c r="A24" s="206">
        <v>17.0</v>
      </c>
      <c r="B24" s="201" t="s">
        <v>202</v>
      </c>
      <c r="C24" s="150">
        <v>0.33266203703703706</v>
      </c>
      <c r="D24" s="15"/>
      <c r="E24" s="150">
        <v>0.5431944444444444</v>
      </c>
      <c r="F24" s="15"/>
      <c r="G24" s="147" t="s">
        <v>103</v>
      </c>
      <c r="H24" s="15"/>
      <c r="I24" s="150">
        <v>0.7458796296296296</v>
      </c>
      <c r="J24" s="5"/>
      <c r="K24" s="6"/>
    </row>
    <row r="25">
      <c r="A25" s="206">
        <v>18.0</v>
      </c>
      <c r="B25" s="199" t="s">
        <v>58</v>
      </c>
      <c r="C25" s="150">
        <v>0.34519675925925924</v>
      </c>
      <c r="D25" s="15"/>
      <c r="E25" s="150">
        <v>0.5415509259259259</v>
      </c>
      <c r="F25" s="15"/>
      <c r="G25" s="147" t="s">
        <v>103</v>
      </c>
      <c r="H25" s="15"/>
      <c r="I25" s="150">
        <v>0.7440625</v>
      </c>
      <c r="J25" s="5"/>
      <c r="K25" s="6"/>
    </row>
    <row r="26">
      <c r="A26" s="206">
        <v>19.0</v>
      </c>
      <c r="B26" s="200" t="s">
        <v>284</v>
      </c>
      <c r="C26" s="150">
        <v>0.3532060185185185</v>
      </c>
      <c r="D26" s="15"/>
      <c r="E26" s="150">
        <v>0.5414814814814815</v>
      </c>
      <c r="F26" s="15"/>
      <c r="G26" s="150">
        <v>0.5831481481481482</v>
      </c>
      <c r="H26" s="15"/>
      <c r="I26" s="150">
        <v>0.748275462962963</v>
      </c>
      <c r="J26" s="5"/>
      <c r="K26" s="127"/>
    </row>
    <row r="27">
      <c r="A27" s="206">
        <v>20.0</v>
      </c>
      <c r="B27" s="200" t="s">
        <v>19</v>
      </c>
      <c r="C27" s="150">
        <v>0.34748842592592594</v>
      </c>
      <c r="D27" s="15"/>
      <c r="E27" s="150">
        <v>0.49962962962962965</v>
      </c>
      <c r="F27" s="15"/>
      <c r="G27" s="150">
        <v>0.5466087962962963</v>
      </c>
      <c r="H27" s="15"/>
      <c r="I27" s="150">
        <v>0.7485648148148148</v>
      </c>
      <c r="J27" s="5"/>
      <c r="K27" s="6"/>
    </row>
    <row r="28">
      <c r="A28" s="206">
        <v>21.0</v>
      </c>
      <c r="B28" s="199" t="s">
        <v>201</v>
      </c>
      <c r="C28" s="150">
        <v>0.34350694444444446</v>
      </c>
      <c r="D28" s="15"/>
      <c r="E28" s="150">
        <v>0.546261574074074</v>
      </c>
      <c r="F28" s="15"/>
      <c r="G28" s="150">
        <v>0.5858796296296296</v>
      </c>
      <c r="H28" s="15"/>
      <c r="I28" s="150">
        <v>0.7464004629629629</v>
      </c>
      <c r="J28" s="5"/>
      <c r="K28" s="6"/>
    </row>
    <row r="29">
      <c r="A29" s="206">
        <v>22.0</v>
      </c>
      <c r="B29" s="200" t="s">
        <v>200</v>
      </c>
      <c r="C29" s="150">
        <v>0.3263888888888889</v>
      </c>
      <c r="D29" s="15"/>
      <c r="E29" s="147" t="s">
        <v>103</v>
      </c>
      <c r="F29" s="15"/>
      <c r="G29" s="147" t="s">
        <v>103</v>
      </c>
      <c r="H29" s="15"/>
      <c r="I29" s="150">
        <v>0.4993287037037037</v>
      </c>
      <c r="J29" s="5"/>
      <c r="K29" s="6"/>
    </row>
    <row r="30">
      <c r="A30" s="206">
        <v>23.0</v>
      </c>
      <c r="B30" s="200" t="s">
        <v>29</v>
      </c>
      <c r="C30" s="181" t="s">
        <v>103</v>
      </c>
      <c r="D30" s="15"/>
      <c r="E30" s="181" t="s">
        <v>103</v>
      </c>
      <c r="F30" s="15"/>
      <c r="G30" s="181" t="s">
        <v>103</v>
      </c>
      <c r="H30" s="15"/>
      <c r="I30" s="181" t="s">
        <v>103</v>
      </c>
      <c r="J30" s="5"/>
      <c r="K30" s="6"/>
    </row>
    <row r="31">
      <c r="A31" s="206">
        <v>24.0</v>
      </c>
      <c r="B31" s="199" t="s">
        <v>202</v>
      </c>
      <c r="C31" s="150">
        <v>0.3491550925925926</v>
      </c>
      <c r="D31" s="15"/>
      <c r="E31" s="150">
        <v>0.5477777777777778</v>
      </c>
      <c r="F31" s="15"/>
      <c r="G31" s="150">
        <v>0.5834490740740741</v>
      </c>
      <c r="H31" s="15"/>
      <c r="I31" s="150">
        <v>0.7479166666666667</v>
      </c>
      <c r="J31" s="5"/>
      <c r="K31" s="6"/>
    </row>
    <row r="32">
      <c r="A32" s="206">
        <v>25.0</v>
      </c>
      <c r="B32" s="200" t="s">
        <v>58</v>
      </c>
      <c r="C32" s="150">
        <v>0.34891203703703705</v>
      </c>
      <c r="D32" s="15"/>
      <c r="E32" s="150">
        <v>0.5412731481481482</v>
      </c>
      <c r="F32" s="15"/>
      <c r="G32" s="150">
        <v>0.5829282407407408</v>
      </c>
      <c r="H32" s="15"/>
      <c r="I32" s="150">
        <v>0.7492592592592593</v>
      </c>
      <c r="J32" s="5"/>
      <c r="K32" s="6"/>
    </row>
    <row r="33">
      <c r="A33" s="206">
        <v>26.0</v>
      </c>
      <c r="B33" s="200" t="s">
        <v>284</v>
      </c>
      <c r="C33" s="150">
        <v>0.35033564814814816</v>
      </c>
      <c r="D33" s="15"/>
      <c r="E33" s="150">
        <v>0.5446296296296296</v>
      </c>
      <c r="F33" s="15"/>
      <c r="G33" s="150">
        <v>0.5840509259259259</v>
      </c>
      <c r="H33" s="15"/>
      <c r="I33" s="150">
        <v>0.7481828703703703</v>
      </c>
      <c r="J33" s="5"/>
      <c r="K33" s="6"/>
    </row>
    <row r="34">
      <c r="A34" s="208">
        <v>27.0</v>
      </c>
      <c r="B34" s="203" t="s">
        <v>19</v>
      </c>
      <c r="C34" s="150">
        <v>0.3503125</v>
      </c>
      <c r="D34" s="15"/>
      <c r="E34" s="150">
        <v>0.5403587962962964</v>
      </c>
      <c r="F34" s="15"/>
      <c r="G34" s="150">
        <v>0.5840509259259259</v>
      </c>
      <c r="H34" s="15"/>
      <c r="I34" s="150">
        <v>0.7472222222222222</v>
      </c>
      <c r="J34" s="5"/>
      <c r="K34" s="6"/>
    </row>
    <row r="35">
      <c r="A35" s="149">
        <v>28.0</v>
      </c>
      <c r="B35" s="200" t="s">
        <v>201</v>
      </c>
      <c r="C35" s="150">
        <v>0.3463541666666667</v>
      </c>
      <c r="D35" s="15"/>
      <c r="E35" s="150">
        <v>4.5375</v>
      </c>
      <c r="F35" s="15"/>
      <c r="G35" s="150">
        <v>0.5828009259259259</v>
      </c>
      <c r="H35" s="15"/>
      <c r="I35" s="150">
        <v>0.7480555555555556</v>
      </c>
      <c r="J35" s="5"/>
      <c r="K35" s="6"/>
    </row>
    <row r="36">
      <c r="A36" s="210" t="s">
        <v>31</v>
      </c>
      <c r="B36" s="11"/>
      <c r="C36" s="11"/>
      <c r="D36" s="11"/>
      <c r="E36" s="11"/>
      <c r="F36" s="11"/>
      <c r="G36" s="11"/>
      <c r="H36" s="11"/>
      <c r="I36" s="11"/>
      <c r="J36" s="10"/>
      <c r="K36" s="6"/>
    </row>
    <row r="37">
      <c r="A37" s="107" t="s">
        <v>314</v>
      </c>
      <c r="B37" s="108"/>
      <c r="C37" s="108"/>
      <c r="D37" s="108"/>
      <c r="E37" s="15"/>
      <c r="F37" s="108"/>
      <c r="G37" s="15"/>
      <c r="H37" s="108"/>
      <c r="I37" s="108"/>
      <c r="J37" s="109"/>
      <c r="K37" s="6"/>
      <c r="N37" s="13"/>
    </row>
    <row r="38">
      <c r="A38" s="107" t="s">
        <v>315</v>
      </c>
      <c r="B38" s="108"/>
      <c r="C38" s="108"/>
      <c r="D38" s="108"/>
      <c r="E38" s="15"/>
      <c r="F38" s="108"/>
      <c r="G38" s="15"/>
      <c r="H38" s="108"/>
      <c r="I38" s="108"/>
      <c r="J38" s="109"/>
      <c r="K38" s="6"/>
    </row>
    <row r="39">
      <c r="A39" s="107" t="s">
        <v>316</v>
      </c>
      <c r="B39" s="108"/>
      <c r="C39" s="108"/>
      <c r="D39" s="108"/>
      <c r="E39" s="15"/>
      <c r="F39" s="108"/>
      <c r="G39" s="15"/>
      <c r="H39" s="108"/>
      <c r="I39" s="108"/>
      <c r="J39" s="109"/>
      <c r="K39" s="6"/>
    </row>
    <row r="40">
      <c r="A40" s="133" t="s">
        <v>35</v>
      </c>
      <c r="B40" s="134"/>
      <c r="C40" s="134"/>
      <c r="D40" s="134"/>
      <c r="E40" s="134"/>
      <c r="F40" s="223"/>
      <c r="H40" s="223"/>
      <c r="I40" s="223"/>
      <c r="J40" s="224"/>
      <c r="K40" s="6"/>
    </row>
    <row r="41">
      <c r="A41" s="136"/>
      <c r="B41" s="137"/>
      <c r="C41" s="137"/>
      <c r="D41" s="137"/>
      <c r="F41" s="137"/>
      <c r="H41" s="137"/>
      <c r="I41" s="137"/>
      <c r="J41" s="138"/>
      <c r="K41" s="12"/>
    </row>
    <row r="42">
      <c r="A42" s="139" t="s">
        <v>36</v>
      </c>
      <c r="B42" s="137"/>
      <c r="C42" s="140" t="s">
        <v>37</v>
      </c>
      <c r="D42" s="137"/>
      <c r="F42" s="137"/>
      <c r="H42" s="137"/>
      <c r="I42" s="137"/>
      <c r="J42" s="138"/>
      <c r="K42" s="6"/>
    </row>
    <row r="43">
      <c r="A43" s="58"/>
      <c r="B43" s="59"/>
      <c r="C43" s="59"/>
      <c r="D43" s="59"/>
      <c r="E43" s="11"/>
      <c r="F43" s="59"/>
      <c r="G43" s="11"/>
      <c r="H43" s="59"/>
      <c r="I43" s="59"/>
      <c r="J43" s="60"/>
      <c r="K43" s="6"/>
    </row>
  </sheetData>
  <mergeCells count="140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D39:E39"/>
    <mergeCell ref="D41:E41"/>
    <mergeCell ref="F41:G41"/>
    <mergeCell ref="D42:E42"/>
    <mergeCell ref="F42:G42"/>
    <mergeCell ref="D43:E43"/>
    <mergeCell ref="F43:G43"/>
    <mergeCell ref="A36:J36"/>
    <mergeCell ref="D37:E37"/>
    <mergeCell ref="F37:G37"/>
    <mergeCell ref="D38:E38"/>
    <mergeCell ref="F38:G38"/>
    <mergeCell ref="F39:G39"/>
    <mergeCell ref="F40:G40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G35:H35"/>
    <mergeCell ref="I35:J35"/>
    <mergeCell ref="C33:D33"/>
    <mergeCell ref="C34:D34"/>
    <mergeCell ref="E34:F34"/>
    <mergeCell ref="G34:H34"/>
    <mergeCell ref="I34:J34"/>
    <mergeCell ref="C35:D35"/>
    <mergeCell ref="E35:F3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63"/>
    <col customWidth="1" min="3" max="3" width="14.75"/>
    <col customWidth="1" min="4" max="4" width="6.63"/>
    <col customWidth="1" min="5" max="5" width="6.38"/>
    <col customWidth="1" min="6" max="7" width="6.25"/>
    <col customWidth="1" min="8" max="8" width="7.63"/>
    <col customWidth="1" min="9" max="9" width="7.75"/>
    <col customWidth="1" min="10" max="10" width="14.88"/>
  </cols>
  <sheetData>
    <row r="1">
      <c r="A1" s="169" t="s">
        <v>0</v>
      </c>
      <c r="B1" s="3"/>
      <c r="C1" s="170" t="s">
        <v>1</v>
      </c>
      <c r="D1" s="3"/>
      <c r="E1" s="3"/>
      <c r="F1" s="3"/>
      <c r="G1" s="3"/>
      <c r="H1" s="3"/>
      <c r="I1" s="171" t="s">
        <v>2</v>
      </c>
      <c r="J1" s="5"/>
      <c r="K1" s="6"/>
    </row>
    <row r="2">
      <c r="A2" s="7"/>
      <c r="C2" s="7"/>
      <c r="I2" s="171" t="s">
        <v>3</v>
      </c>
      <c r="J2" s="5"/>
      <c r="K2" s="6"/>
    </row>
    <row r="3">
      <c r="A3" s="7"/>
      <c r="C3" s="7"/>
      <c r="I3" s="171" t="s">
        <v>4</v>
      </c>
      <c r="J3" s="5"/>
      <c r="K3" s="6"/>
    </row>
    <row r="4">
      <c r="A4" s="172" t="s">
        <v>5</v>
      </c>
      <c r="B4" s="214" t="s">
        <v>181</v>
      </c>
      <c r="C4" s="15"/>
      <c r="D4" s="15"/>
      <c r="E4" s="15"/>
      <c r="F4" s="15"/>
      <c r="G4" s="215"/>
      <c r="H4" s="3"/>
      <c r="I4" s="215"/>
      <c r="J4" s="216"/>
      <c r="K4" s="6"/>
    </row>
    <row r="5">
      <c r="A5" s="175" t="s">
        <v>7</v>
      </c>
      <c r="B5" s="217" t="s">
        <v>41</v>
      </c>
      <c r="C5" s="3"/>
      <c r="D5" s="3"/>
      <c r="E5" s="3"/>
      <c r="F5" s="177" t="s">
        <v>9</v>
      </c>
      <c r="G5" s="178"/>
      <c r="H5" s="179"/>
      <c r="I5" s="179"/>
      <c r="J5" s="179"/>
      <c r="K5" s="6"/>
    </row>
    <row r="6">
      <c r="A6" s="218" t="s">
        <v>10</v>
      </c>
      <c r="B6" s="176" t="s">
        <v>11</v>
      </c>
      <c r="C6" s="15"/>
      <c r="D6" s="15"/>
      <c r="E6" s="15"/>
      <c r="F6" s="180" t="s">
        <v>12</v>
      </c>
      <c r="G6" s="15"/>
      <c r="H6" s="15"/>
      <c r="I6" s="15"/>
      <c r="J6" s="5"/>
      <c r="K6" s="6"/>
    </row>
    <row r="7">
      <c r="A7" s="77" t="s">
        <v>13</v>
      </c>
      <c r="B7" s="15"/>
      <c r="C7" s="78" t="s">
        <v>14</v>
      </c>
      <c r="D7" s="11"/>
      <c r="E7" s="79" t="s">
        <v>15</v>
      </c>
      <c r="F7" s="80" t="s">
        <v>16</v>
      </c>
      <c r="G7" s="15"/>
      <c r="H7" s="81" t="s">
        <v>17</v>
      </c>
      <c r="I7" s="80" t="s">
        <v>15</v>
      </c>
      <c r="J7" s="5"/>
      <c r="K7" s="6"/>
    </row>
    <row r="8">
      <c r="A8" s="205">
        <v>1.0</v>
      </c>
      <c r="B8" s="199" t="s">
        <v>200</v>
      </c>
      <c r="C8" s="250">
        <v>0.329212962962963</v>
      </c>
      <c r="D8" s="15"/>
      <c r="E8" s="181" t="s">
        <v>103</v>
      </c>
      <c r="F8" s="15"/>
      <c r="G8" s="181" t="s">
        <v>103</v>
      </c>
      <c r="H8" s="15"/>
      <c r="I8" s="250">
        <v>0.4984837962962963</v>
      </c>
      <c r="J8" s="5"/>
      <c r="K8" s="6"/>
    </row>
    <row r="9">
      <c r="A9" s="206">
        <v>2.0</v>
      </c>
      <c r="B9" s="200" t="s">
        <v>29</v>
      </c>
      <c r="C9" s="181" t="s">
        <v>103</v>
      </c>
      <c r="D9" s="15"/>
      <c r="E9" s="181" t="s">
        <v>103</v>
      </c>
      <c r="F9" s="15"/>
      <c r="G9" s="181" t="s">
        <v>103</v>
      </c>
      <c r="H9" s="15"/>
      <c r="I9" s="181" t="s">
        <v>103</v>
      </c>
      <c r="J9" s="5"/>
      <c r="K9" s="6"/>
    </row>
    <row r="10">
      <c r="A10" s="206">
        <v>3.0</v>
      </c>
      <c r="B10" s="201" t="s">
        <v>202</v>
      </c>
      <c r="C10" s="181" t="s">
        <v>103</v>
      </c>
      <c r="D10" s="15"/>
      <c r="E10" s="181" t="s">
        <v>103</v>
      </c>
      <c r="F10" s="15"/>
      <c r="G10" s="181" t="s">
        <v>103</v>
      </c>
      <c r="H10" s="15"/>
      <c r="I10" s="181" t="s">
        <v>103</v>
      </c>
      <c r="J10" s="5"/>
      <c r="K10" s="6"/>
    </row>
    <row r="11">
      <c r="A11" s="206">
        <v>4.0</v>
      </c>
      <c r="B11" s="199" t="s">
        <v>58</v>
      </c>
      <c r="C11" s="181" t="s">
        <v>103</v>
      </c>
      <c r="D11" s="15"/>
      <c r="E11" s="181" t="s">
        <v>103</v>
      </c>
      <c r="F11" s="15"/>
      <c r="G11" s="181" t="s">
        <v>103</v>
      </c>
      <c r="H11" s="15"/>
      <c r="I11" s="181" t="s">
        <v>103</v>
      </c>
      <c r="J11" s="5"/>
      <c r="K11" s="6"/>
    </row>
    <row r="12">
      <c r="A12" s="206">
        <v>5.0</v>
      </c>
      <c r="B12" s="201" t="s">
        <v>284</v>
      </c>
      <c r="C12" s="152">
        <v>0.3505671296296296</v>
      </c>
      <c r="D12" s="15"/>
      <c r="E12" s="250">
        <v>0.5415625</v>
      </c>
      <c r="F12" s="15"/>
      <c r="G12" s="250">
        <v>0.5824652777777778</v>
      </c>
      <c r="H12" s="15"/>
      <c r="I12" s="181" t="s">
        <v>103</v>
      </c>
      <c r="J12" s="5"/>
      <c r="K12" s="6"/>
    </row>
    <row r="13">
      <c r="A13" s="206">
        <v>6.0</v>
      </c>
      <c r="B13" s="201" t="s">
        <v>19</v>
      </c>
      <c r="C13" s="150">
        <v>0.34844907407407405</v>
      </c>
      <c r="D13" s="15"/>
      <c r="E13" s="150">
        <v>0.5441319444444445</v>
      </c>
      <c r="F13" s="15"/>
      <c r="G13" s="150">
        <v>0.5822222222222222</v>
      </c>
      <c r="H13" s="15"/>
      <c r="I13" s="150">
        <v>0.7437268518518518</v>
      </c>
      <c r="J13" s="5"/>
      <c r="K13" s="6"/>
    </row>
    <row r="14">
      <c r="A14" s="206">
        <v>7.0</v>
      </c>
      <c r="B14" s="201" t="s">
        <v>201</v>
      </c>
      <c r="C14" s="147" t="s">
        <v>103</v>
      </c>
      <c r="D14" s="15"/>
      <c r="E14" s="150">
        <v>0.5413773148148148</v>
      </c>
      <c r="F14" s="15"/>
      <c r="G14" s="150">
        <v>0.5806828703703704</v>
      </c>
      <c r="H14" s="15"/>
      <c r="I14" s="150">
        <v>0.7478587962962963</v>
      </c>
      <c r="J14" s="5"/>
      <c r="K14" s="6"/>
    </row>
    <row r="15">
      <c r="A15" s="206">
        <v>8.0</v>
      </c>
      <c r="B15" s="199" t="s">
        <v>200</v>
      </c>
      <c r="C15" s="150">
        <v>0.32658564814814817</v>
      </c>
      <c r="D15" s="15"/>
      <c r="E15" s="147" t="s">
        <v>103</v>
      </c>
      <c r="F15" s="15"/>
      <c r="G15" s="147" t="s">
        <v>103</v>
      </c>
      <c r="H15" s="15"/>
      <c r="I15" s="150">
        <v>0.5054166666666666</v>
      </c>
      <c r="J15" s="5"/>
      <c r="K15" s="6"/>
    </row>
    <row r="16">
      <c r="A16" s="206">
        <v>9.0</v>
      </c>
      <c r="B16" s="200" t="s">
        <v>29</v>
      </c>
      <c r="C16" s="181" t="s">
        <v>103</v>
      </c>
      <c r="D16" s="15"/>
      <c r="E16" s="181" t="s">
        <v>103</v>
      </c>
      <c r="F16" s="15"/>
      <c r="G16" s="181" t="s">
        <v>103</v>
      </c>
      <c r="H16" s="15"/>
      <c r="I16" s="181" t="s">
        <v>103</v>
      </c>
      <c r="J16" s="5"/>
      <c r="K16" s="6"/>
    </row>
    <row r="17">
      <c r="A17" s="206">
        <v>10.0</v>
      </c>
      <c r="B17" s="201" t="s">
        <v>202</v>
      </c>
      <c r="C17" s="150">
        <v>0.34901620370370373</v>
      </c>
      <c r="D17" s="15"/>
      <c r="E17" s="251">
        <v>0.4993518518518518</v>
      </c>
      <c r="F17" s="15"/>
      <c r="G17" s="251">
        <v>0.5420833333333334</v>
      </c>
      <c r="H17" s="15"/>
      <c r="I17" s="150">
        <v>0.747349537037037</v>
      </c>
      <c r="J17" s="5"/>
      <c r="K17" s="6"/>
    </row>
    <row r="18">
      <c r="A18" s="206">
        <v>11.0</v>
      </c>
      <c r="B18" s="199" t="s">
        <v>58</v>
      </c>
      <c r="C18" s="150">
        <v>0.3498148148148148</v>
      </c>
      <c r="D18" s="15"/>
      <c r="E18" s="150">
        <v>0.5447222222222222</v>
      </c>
      <c r="F18" s="15"/>
      <c r="G18" s="150">
        <v>0.5868518518518518</v>
      </c>
      <c r="H18" s="15"/>
      <c r="I18" s="150">
        <v>0.7462962962962963</v>
      </c>
      <c r="J18" s="5"/>
      <c r="K18" s="6"/>
    </row>
    <row r="19">
      <c r="A19" s="206">
        <v>12.0</v>
      </c>
      <c r="B19" s="200" t="s">
        <v>284</v>
      </c>
      <c r="C19" s="150">
        <v>0.3491666666666667</v>
      </c>
      <c r="D19" s="15"/>
      <c r="E19" s="150">
        <v>0.504849537037037</v>
      </c>
      <c r="F19" s="15"/>
      <c r="G19" s="150">
        <v>0.5452777777777778</v>
      </c>
      <c r="H19" s="15"/>
      <c r="I19" s="150">
        <v>0.7528703703703704</v>
      </c>
      <c r="J19" s="5"/>
      <c r="K19" s="6"/>
    </row>
    <row r="20">
      <c r="A20" s="206">
        <v>13.0</v>
      </c>
      <c r="B20" s="200" t="s">
        <v>19</v>
      </c>
      <c r="C20" s="150">
        <v>0.35116898148148146</v>
      </c>
      <c r="D20" s="15"/>
      <c r="E20" s="150">
        <v>0.5410416666666666</v>
      </c>
      <c r="F20" s="15"/>
      <c r="G20" s="150">
        <v>0.5830324074074074</v>
      </c>
      <c r="H20" s="15"/>
      <c r="I20" s="150">
        <v>0.7437037037037038</v>
      </c>
      <c r="J20" s="5"/>
      <c r="K20" s="6"/>
    </row>
    <row r="21">
      <c r="A21" s="206">
        <v>14.0</v>
      </c>
      <c r="B21" s="201" t="s">
        <v>201</v>
      </c>
      <c r="C21" s="150">
        <v>0.3494791666666667</v>
      </c>
      <c r="D21" s="15"/>
      <c r="E21" s="150">
        <v>0.5410648148148148</v>
      </c>
      <c r="F21" s="15"/>
      <c r="G21" s="150">
        <v>0.5833333333333334</v>
      </c>
      <c r="H21" s="15"/>
      <c r="I21" s="150">
        <v>0.7435416666666667</v>
      </c>
      <c r="J21" s="5"/>
      <c r="K21" s="6"/>
    </row>
    <row r="22">
      <c r="A22" s="206">
        <v>15.0</v>
      </c>
      <c r="B22" s="199" t="s">
        <v>200</v>
      </c>
      <c r="C22" s="150">
        <v>0.3293055555555556</v>
      </c>
      <c r="D22" s="15"/>
      <c r="E22" s="147" t="s">
        <v>103</v>
      </c>
      <c r="F22" s="15"/>
      <c r="G22" s="147" t="s">
        <v>103</v>
      </c>
      <c r="H22" s="15"/>
      <c r="I22" s="150">
        <v>0.503900462962963</v>
      </c>
      <c r="J22" s="5"/>
      <c r="K22" s="6"/>
    </row>
    <row r="23">
      <c r="A23" s="206">
        <v>16.0</v>
      </c>
      <c r="B23" s="200" t="s">
        <v>29</v>
      </c>
      <c r="C23" s="181" t="s">
        <v>103</v>
      </c>
      <c r="D23" s="15"/>
      <c r="E23" s="181" t="s">
        <v>103</v>
      </c>
      <c r="F23" s="15"/>
      <c r="G23" s="181" t="s">
        <v>103</v>
      </c>
      <c r="H23" s="15"/>
      <c r="I23" s="181" t="s">
        <v>103</v>
      </c>
      <c r="J23" s="5"/>
      <c r="K23" s="6"/>
    </row>
    <row r="24">
      <c r="A24" s="206">
        <v>17.0</v>
      </c>
      <c r="B24" s="201" t="s">
        <v>202</v>
      </c>
      <c r="C24" s="147" t="s">
        <v>161</v>
      </c>
      <c r="D24" s="15"/>
      <c r="E24" s="15"/>
      <c r="F24" s="15"/>
      <c r="G24" s="15"/>
      <c r="H24" s="15"/>
      <c r="I24" s="15"/>
      <c r="J24" s="5"/>
      <c r="K24" s="124"/>
    </row>
    <row r="25">
      <c r="A25" s="206">
        <v>18.0</v>
      </c>
      <c r="B25" s="199" t="s">
        <v>58</v>
      </c>
      <c r="C25" s="150">
        <v>0.3484837962962963</v>
      </c>
      <c r="D25" s="15"/>
      <c r="E25" s="147" t="s">
        <v>103</v>
      </c>
      <c r="F25" s="15"/>
      <c r="G25" s="150">
        <v>0.5817476851851852</v>
      </c>
      <c r="H25" s="15"/>
      <c r="I25" s="150">
        <v>0.7464004629629629</v>
      </c>
      <c r="J25" s="5"/>
      <c r="K25" s="6"/>
    </row>
    <row r="26">
      <c r="A26" s="206">
        <v>19.0</v>
      </c>
      <c r="B26" s="200" t="s">
        <v>284</v>
      </c>
      <c r="C26" s="150">
        <v>0.34908564814814813</v>
      </c>
      <c r="D26" s="15"/>
      <c r="E26" s="150">
        <v>0.5411921296296296</v>
      </c>
      <c r="F26" s="15"/>
      <c r="G26" s="150">
        <v>0.5822569444444444</v>
      </c>
      <c r="H26" s="15"/>
      <c r="I26" s="150">
        <v>0.7477199074074075</v>
      </c>
      <c r="J26" s="5"/>
      <c r="K26" s="127"/>
    </row>
    <row r="27">
      <c r="A27" s="206">
        <v>20.0</v>
      </c>
      <c r="B27" s="200" t="s">
        <v>19</v>
      </c>
      <c r="C27" s="150">
        <v>0.3432175925925926</v>
      </c>
      <c r="D27" s="15"/>
      <c r="E27" s="150">
        <v>0.5404166666666667</v>
      </c>
      <c r="F27" s="15"/>
      <c r="G27" s="150">
        <v>0.5832407407407407</v>
      </c>
      <c r="H27" s="15"/>
      <c r="I27" s="150">
        <v>0.7439467592592592</v>
      </c>
      <c r="J27" s="5"/>
      <c r="K27" s="6"/>
    </row>
    <row r="28">
      <c r="A28" s="206">
        <v>21.0</v>
      </c>
      <c r="B28" s="199" t="s">
        <v>201</v>
      </c>
      <c r="C28" s="150">
        <v>0.3503703703703704</v>
      </c>
      <c r="D28" s="15"/>
      <c r="E28" s="150">
        <v>0.5421527777777778</v>
      </c>
      <c r="F28" s="15"/>
      <c r="G28" s="150">
        <v>0.5821296296296297</v>
      </c>
      <c r="H28" s="15"/>
      <c r="I28" s="150">
        <v>0.7465277777777778</v>
      </c>
      <c r="J28" s="5"/>
      <c r="K28" s="6"/>
    </row>
    <row r="29">
      <c r="A29" s="206">
        <v>22.0</v>
      </c>
      <c r="B29" s="200" t="s">
        <v>200</v>
      </c>
      <c r="C29" s="150">
        <v>0.32916666666666666</v>
      </c>
      <c r="D29" s="15"/>
      <c r="E29" s="147" t="s">
        <v>103</v>
      </c>
      <c r="F29" s="15"/>
      <c r="G29" s="147" t="s">
        <v>103</v>
      </c>
      <c r="H29" s="15"/>
      <c r="I29" s="150">
        <v>0.4986111111111111</v>
      </c>
      <c r="J29" s="5"/>
      <c r="K29" s="6"/>
    </row>
    <row r="30">
      <c r="A30" s="206">
        <v>23.0</v>
      </c>
      <c r="B30" s="200" t="s">
        <v>29</v>
      </c>
      <c r="C30" s="181" t="s">
        <v>103</v>
      </c>
      <c r="D30" s="15"/>
      <c r="E30" s="181" t="s">
        <v>103</v>
      </c>
      <c r="F30" s="15"/>
      <c r="G30" s="181" t="s">
        <v>103</v>
      </c>
      <c r="H30" s="15"/>
      <c r="I30" s="181" t="s">
        <v>103</v>
      </c>
      <c r="J30" s="5"/>
      <c r="K30" s="6"/>
    </row>
    <row r="31">
      <c r="A31" s="206">
        <v>24.0</v>
      </c>
      <c r="B31" s="199" t="s">
        <v>202</v>
      </c>
      <c r="C31" s="150">
        <v>0.34791666666666665</v>
      </c>
      <c r="D31" s="15"/>
      <c r="E31" s="150">
        <v>0.5097222222222222</v>
      </c>
      <c r="F31" s="15"/>
      <c r="G31" s="150">
        <v>0.5486111111111112</v>
      </c>
      <c r="H31" s="15"/>
      <c r="I31" s="150">
        <v>0.7479166666666667</v>
      </c>
      <c r="J31" s="5"/>
      <c r="K31" s="6"/>
    </row>
    <row r="32">
      <c r="A32" s="206">
        <v>25.0</v>
      </c>
      <c r="B32" s="200" t="s">
        <v>58</v>
      </c>
      <c r="C32" s="150">
        <v>0.35</v>
      </c>
      <c r="D32" s="15"/>
      <c r="E32" s="150">
        <v>0.5416666666666666</v>
      </c>
      <c r="F32" s="15"/>
      <c r="G32" s="150">
        <v>0.5833333333333334</v>
      </c>
      <c r="H32" s="15"/>
      <c r="I32" s="150">
        <v>0.7472222222222222</v>
      </c>
      <c r="J32" s="5"/>
      <c r="K32" s="6"/>
    </row>
    <row r="33">
      <c r="A33" s="206">
        <v>26.0</v>
      </c>
      <c r="B33" s="200" t="s">
        <v>284</v>
      </c>
      <c r="C33" s="150">
        <v>0.34930555555555554</v>
      </c>
      <c r="D33" s="15"/>
      <c r="E33" s="150">
        <v>0.5479166666666667</v>
      </c>
      <c r="F33" s="15"/>
      <c r="G33" s="150">
        <v>0.5833333333333334</v>
      </c>
      <c r="H33" s="15"/>
      <c r="I33" s="150">
        <v>0.7430555555555556</v>
      </c>
      <c r="J33" s="5"/>
      <c r="K33" s="6"/>
    </row>
    <row r="34">
      <c r="A34" s="208">
        <v>27.0</v>
      </c>
      <c r="B34" s="203" t="s">
        <v>19</v>
      </c>
      <c r="C34" s="150">
        <v>0.35138888888888886</v>
      </c>
      <c r="D34" s="15"/>
      <c r="E34" s="150">
        <v>0.5673611111111111</v>
      </c>
      <c r="F34" s="15"/>
      <c r="G34" s="150">
        <v>0.6076388888888888</v>
      </c>
      <c r="H34" s="15"/>
      <c r="I34" s="150">
        <v>0.7458333333333333</v>
      </c>
      <c r="J34" s="5"/>
      <c r="K34" s="6"/>
    </row>
    <row r="35">
      <c r="A35" s="149">
        <v>28.0</v>
      </c>
      <c r="B35" s="200" t="s">
        <v>201</v>
      </c>
      <c r="C35" s="150">
        <v>0.34930555555555554</v>
      </c>
      <c r="D35" s="15"/>
      <c r="E35" s="150">
        <v>0.5402777777777777</v>
      </c>
      <c r="F35" s="15"/>
      <c r="G35" s="150">
        <v>0.58125</v>
      </c>
      <c r="H35" s="15"/>
      <c r="I35" s="150">
        <v>0.7416666666666667</v>
      </c>
      <c r="J35" s="5"/>
      <c r="K35" s="6"/>
    </row>
    <row r="36">
      <c r="A36" s="163">
        <v>29.0</v>
      </c>
      <c r="B36" s="163" t="s">
        <v>200</v>
      </c>
      <c r="C36" s="150">
        <v>0.3277777777777778</v>
      </c>
      <c r="D36" s="15"/>
      <c r="E36" s="147" t="s">
        <v>103</v>
      </c>
      <c r="F36" s="15"/>
      <c r="G36" s="147" t="s">
        <v>103</v>
      </c>
      <c r="H36" s="15"/>
      <c r="I36" s="150">
        <v>0.4979166666666667</v>
      </c>
      <c r="J36" s="5"/>
      <c r="K36" s="6"/>
    </row>
    <row r="37">
      <c r="A37" s="163">
        <v>30.0</v>
      </c>
      <c r="B37" s="163" t="s">
        <v>29</v>
      </c>
      <c r="C37" s="181" t="s">
        <v>103</v>
      </c>
      <c r="D37" s="15"/>
      <c r="E37" s="181" t="s">
        <v>103</v>
      </c>
      <c r="F37" s="15"/>
      <c r="G37" s="181" t="s">
        <v>103</v>
      </c>
      <c r="H37" s="15"/>
      <c r="I37" s="181" t="s">
        <v>103</v>
      </c>
      <c r="J37" s="5"/>
      <c r="K37" s="6"/>
    </row>
    <row r="38">
      <c r="A38" s="163">
        <v>31.0</v>
      </c>
      <c r="B38" s="163" t="s">
        <v>24</v>
      </c>
      <c r="C38" s="150">
        <v>0.3506944444444444</v>
      </c>
      <c r="D38" s="15"/>
      <c r="E38" s="150">
        <v>0.4979166666666667</v>
      </c>
      <c r="F38" s="15"/>
      <c r="G38" s="150">
        <v>0.5402777777777777</v>
      </c>
      <c r="H38" s="15"/>
      <c r="I38" s="150">
        <v>0.7451388888888889</v>
      </c>
      <c r="J38" s="5"/>
      <c r="K38" s="6"/>
    </row>
    <row r="39">
      <c r="A39" s="210" t="s">
        <v>31</v>
      </c>
      <c r="B39" s="11"/>
      <c r="C39" s="11"/>
      <c r="D39" s="11"/>
      <c r="E39" s="11"/>
      <c r="F39" s="11"/>
      <c r="G39" s="11"/>
      <c r="H39" s="11"/>
      <c r="I39" s="11"/>
      <c r="J39" s="10"/>
      <c r="K39" s="6"/>
    </row>
    <row r="40">
      <c r="A40" s="107" t="s">
        <v>317</v>
      </c>
      <c r="B40" s="108"/>
      <c r="C40" s="108"/>
      <c r="D40" s="108"/>
      <c r="E40" s="15"/>
      <c r="F40" s="108"/>
      <c r="G40" s="15"/>
      <c r="H40" s="108"/>
      <c r="I40" s="108"/>
      <c r="J40" s="109"/>
      <c r="K40" s="6"/>
    </row>
    <row r="41">
      <c r="A41" s="107" t="s">
        <v>318</v>
      </c>
      <c r="B41" s="108"/>
      <c r="C41" s="108"/>
      <c r="D41" s="108"/>
      <c r="E41" s="15"/>
      <c r="F41" s="108"/>
      <c r="G41" s="15"/>
      <c r="H41" s="108"/>
      <c r="I41" s="108"/>
      <c r="J41" s="109"/>
      <c r="K41" s="6"/>
      <c r="O41" s="41"/>
    </row>
    <row r="42">
      <c r="A42" s="107" t="s">
        <v>319</v>
      </c>
      <c r="B42" s="108"/>
      <c r="C42" s="108"/>
      <c r="D42" s="108"/>
      <c r="E42" s="15"/>
      <c r="F42" s="108"/>
      <c r="G42" s="15"/>
      <c r="H42" s="108"/>
      <c r="I42" s="108"/>
      <c r="J42" s="109"/>
      <c r="K42" s="6"/>
    </row>
    <row r="43">
      <c r="A43" s="133" t="s">
        <v>35</v>
      </c>
      <c r="B43" s="134"/>
      <c r="C43" s="134"/>
      <c r="D43" s="134"/>
      <c r="E43" s="134"/>
      <c r="F43" s="223"/>
      <c r="H43" s="223"/>
      <c r="I43" s="223"/>
      <c r="J43" s="224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  <c r="K46" s="6"/>
    </row>
  </sheetData>
  <mergeCells count="149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3:D23"/>
    <mergeCell ref="C25:D25"/>
    <mergeCell ref="E25:F25"/>
    <mergeCell ref="G25:H25"/>
    <mergeCell ref="I25:J25"/>
    <mergeCell ref="C26:D26"/>
    <mergeCell ref="E26:F26"/>
    <mergeCell ref="C27:D27"/>
    <mergeCell ref="E27:F27"/>
    <mergeCell ref="G27:H27"/>
    <mergeCell ref="I27:J27"/>
    <mergeCell ref="E28:F28"/>
    <mergeCell ref="G28:H28"/>
    <mergeCell ref="I28:J28"/>
    <mergeCell ref="G30:H30"/>
    <mergeCell ref="I30:J30"/>
    <mergeCell ref="C28:D28"/>
    <mergeCell ref="C29:D29"/>
    <mergeCell ref="E29:F29"/>
    <mergeCell ref="G29:H29"/>
    <mergeCell ref="I29:J29"/>
    <mergeCell ref="C30:D30"/>
    <mergeCell ref="E30:F30"/>
    <mergeCell ref="C31:D31"/>
    <mergeCell ref="E31:F31"/>
    <mergeCell ref="G31:H31"/>
    <mergeCell ref="I31:J31"/>
    <mergeCell ref="E32:F32"/>
    <mergeCell ref="G32:H32"/>
    <mergeCell ref="I32:J32"/>
    <mergeCell ref="C32:D32"/>
    <mergeCell ref="C33:D33"/>
    <mergeCell ref="E33:F33"/>
    <mergeCell ref="G33:H33"/>
    <mergeCell ref="I33:J33"/>
    <mergeCell ref="C34:D34"/>
    <mergeCell ref="E34:F34"/>
    <mergeCell ref="E36:F36"/>
    <mergeCell ref="G36:H36"/>
    <mergeCell ref="G34:H34"/>
    <mergeCell ref="I34:J34"/>
    <mergeCell ref="C35:D35"/>
    <mergeCell ref="E35:F35"/>
    <mergeCell ref="G35:H35"/>
    <mergeCell ref="I35:J35"/>
    <mergeCell ref="I36:J36"/>
    <mergeCell ref="D42:E42"/>
    <mergeCell ref="D44:E44"/>
    <mergeCell ref="F44:G44"/>
    <mergeCell ref="D45:E45"/>
    <mergeCell ref="F45:G45"/>
    <mergeCell ref="D46:E46"/>
    <mergeCell ref="F46:G46"/>
    <mergeCell ref="A39:J39"/>
    <mergeCell ref="D40:E40"/>
    <mergeCell ref="F40:G40"/>
    <mergeCell ref="D41:E41"/>
    <mergeCell ref="F41:G41"/>
    <mergeCell ref="F42:G42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E23:F23"/>
    <mergeCell ref="C24:J24"/>
    <mergeCell ref="G26:H26"/>
    <mergeCell ref="I26:J26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4" max="4" width="0.38"/>
    <col customWidth="1" min="5" max="5" width="12.5"/>
    <col customWidth="1" min="6" max="6" width="4.25"/>
    <col customWidth="1" min="7" max="7" width="4.63"/>
    <col customWidth="1" min="8" max="8" width="10.0"/>
    <col customWidth="1" min="10" max="10" width="8.88"/>
    <col customWidth="1" min="11" max="11" width="6.88"/>
    <col customWidth="1" min="15" max="15" width="4.38"/>
    <col customWidth="1" min="17" max="17" width="2.75"/>
    <col customWidth="1" min="18" max="18" width="2.63"/>
  </cols>
  <sheetData>
    <row r="1">
      <c r="A1" s="169" t="s">
        <v>0</v>
      </c>
      <c r="B1" s="2"/>
      <c r="C1" s="170" t="s">
        <v>1</v>
      </c>
      <c r="D1" s="3"/>
      <c r="E1" s="3"/>
      <c r="F1" s="3"/>
      <c r="G1" s="3"/>
      <c r="H1" s="2"/>
      <c r="I1" s="171" t="s">
        <v>2</v>
      </c>
      <c r="J1" s="5"/>
      <c r="K1" s="6"/>
    </row>
    <row r="2">
      <c r="A2" s="7"/>
      <c r="B2" s="8"/>
      <c r="C2" s="7"/>
      <c r="H2" s="8"/>
      <c r="I2" s="171" t="s">
        <v>3</v>
      </c>
      <c r="J2" s="5"/>
      <c r="K2" s="6"/>
    </row>
    <row r="3">
      <c r="A3" s="9"/>
      <c r="B3" s="10"/>
      <c r="C3" s="9"/>
      <c r="D3" s="11"/>
      <c r="E3" s="11"/>
      <c r="F3" s="11"/>
      <c r="G3" s="11"/>
      <c r="H3" s="10"/>
      <c r="I3" s="171" t="s">
        <v>4</v>
      </c>
      <c r="J3" s="5"/>
      <c r="K3" s="6"/>
    </row>
    <row r="4">
      <c r="A4" s="172" t="s">
        <v>5</v>
      </c>
      <c r="B4" s="171" t="s">
        <v>6</v>
      </c>
      <c r="C4" s="15"/>
      <c r="D4" s="15"/>
      <c r="E4" s="15"/>
      <c r="F4" s="5"/>
      <c r="G4" s="173"/>
      <c r="H4" s="5"/>
      <c r="I4" s="174"/>
      <c r="J4" s="174"/>
      <c r="K4" s="6"/>
    </row>
    <row r="5">
      <c r="A5" s="175" t="s">
        <v>7</v>
      </c>
      <c r="B5" s="176" t="s">
        <v>52</v>
      </c>
      <c r="C5" s="15"/>
      <c r="D5" s="15"/>
      <c r="E5" s="5"/>
      <c r="F5" s="177" t="s">
        <v>9</v>
      </c>
      <c r="G5" s="178"/>
      <c r="H5" s="179"/>
      <c r="I5" s="179"/>
      <c r="J5" s="179"/>
      <c r="K5" s="6"/>
    </row>
    <row r="6">
      <c r="A6" s="172" t="s">
        <v>10</v>
      </c>
      <c r="B6" s="176" t="s">
        <v>11</v>
      </c>
      <c r="C6" s="15"/>
      <c r="D6" s="15"/>
      <c r="E6" s="5"/>
      <c r="F6" s="180" t="s">
        <v>305</v>
      </c>
      <c r="G6" s="15"/>
      <c r="H6" s="15"/>
      <c r="I6" s="15"/>
      <c r="J6" s="5"/>
      <c r="K6" s="6"/>
    </row>
    <row r="7">
      <c r="A7" s="77" t="s">
        <v>13</v>
      </c>
      <c r="B7" s="5"/>
      <c r="C7" s="77" t="s">
        <v>14</v>
      </c>
      <c r="D7" s="5"/>
      <c r="E7" s="79" t="s">
        <v>15</v>
      </c>
      <c r="F7" s="77" t="s">
        <v>16</v>
      </c>
      <c r="G7" s="5"/>
      <c r="H7" s="81" t="s">
        <v>17</v>
      </c>
      <c r="I7" s="77" t="s">
        <v>15</v>
      </c>
      <c r="J7" s="5"/>
      <c r="K7" s="6"/>
    </row>
    <row r="8">
      <c r="A8" s="148">
        <v>1.0</v>
      </c>
      <c r="B8" s="200" t="s">
        <v>200</v>
      </c>
      <c r="C8" s="150">
        <v>0.32850694444444445</v>
      </c>
      <c r="D8" s="5"/>
      <c r="E8" s="181" t="s">
        <v>103</v>
      </c>
      <c r="F8" s="5"/>
      <c r="G8" s="181" t="s">
        <v>103</v>
      </c>
      <c r="H8" s="5"/>
      <c r="I8" s="151">
        <v>0.4986111111111111</v>
      </c>
      <c r="J8" s="5"/>
      <c r="K8" s="6"/>
    </row>
    <row r="9">
      <c r="A9" s="149">
        <v>2.0</v>
      </c>
      <c r="B9" s="200" t="s">
        <v>29</v>
      </c>
      <c r="C9" s="181" t="s">
        <v>103</v>
      </c>
      <c r="D9" s="5"/>
      <c r="E9" s="181" t="s">
        <v>103</v>
      </c>
      <c r="F9" s="5"/>
      <c r="G9" s="181" t="s">
        <v>103</v>
      </c>
      <c r="H9" s="5"/>
      <c r="I9" s="181" t="s">
        <v>103</v>
      </c>
      <c r="J9" s="5"/>
      <c r="K9" s="6"/>
    </row>
    <row r="10">
      <c r="A10" s="149">
        <v>3.0</v>
      </c>
      <c r="B10" s="200" t="s">
        <v>202</v>
      </c>
      <c r="C10" s="147" t="s">
        <v>103</v>
      </c>
      <c r="D10" s="5"/>
      <c r="E10" s="147" t="s">
        <v>103</v>
      </c>
      <c r="F10" s="5"/>
      <c r="G10" s="147" t="s">
        <v>103</v>
      </c>
      <c r="H10" s="5"/>
      <c r="I10" s="147" t="s">
        <v>103</v>
      </c>
      <c r="J10" s="5"/>
      <c r="K10" s="6"/>
    </row>
    <row r="11">
      <c r="A11" s="149">
        <v>4.0</v>
      </c>
      <c r="B11" s="200" t="s">
        <v>58</v>
      </c>
      <c r="C11" s="147" t="s">
        <v>103</v>
      </c>
      <c r="D11" s="5"/>
      <c r="E11" s="147" t="s">
        <v>103</v>
      </c>
      <c r="F11" s="5"/>
      <c r="G11" s="147" t="s">
        <v>103</v>
      </c>
      <c r="H11" s="5"/>
      <c r="I11" s="147" t="s">
        <v>103</v>
      </c>
      <c r="J11" s="5"/>
      <c r="K11" s="6"/>
    </row>
    <row r="12">
      <c r="A12" s="149">
        <v>5.0</v>
      </c>
      <c r="B12" s="200" t="s">
        <v>284</v>
      </c>
      <c r="C12" s="150">
        <v>0.35011574074074076</v>
      </c>
      <c r="D12" s="5"/>
      <c r="E12" s="150">
        <v>0.5528009259259259</v>
      </c>
      <c r="F12" s="5"/>
      <c r="G12" s="150">
        <v>0.5984722222222222</v>
      </c>
      <c r="H12" s="5"/>
      <c r="I12" s="150">
        <v>0.7495023148148148</v>
      </c>
      <c r="J12" s="5"/>
      <c r="K12" s="6"/>
    </row>
    <row r="13">
      <c r="A13" s="149">
        <v>6.0</v>
      </c>
      <c r="B13" s="200" t="s">
        <v>19</v>
      </c>
      <c r="C13" s="150">
        <v>0.3481944444444444</v>
      </c>
      <c r="D13" s="5"/>
      <c r="E13" s="150">
        <v>0.5542708333333334</v>
      </c>
      <c r="F13" s="5"/>
      <c r="G13" s="150">
        <v>0.599212962962963</v>
      </c>
      <c r="H13" s="5"/>
      <c r="I13" s="150">
        <v>0.7439814814814815</v>
      </c>
      <c r="J13" s="5"/>
      <c r="K13" s="6"/>
    </row>
    <row r="14">
      <c r="A14" s="149">
        <v>7.0</v>
      </c>
      <c r="B14" s="200" t="s">
        <v>201</v>
      </c>
      <c r="C14" s="150">
        <v>0.34717592592592594</v>
      </c>
      <c r="D14" s="5"/>
      <c r="E14" s="150">
        <v>0.5542708333333334</v>
      </c>
      <c r="F14" s="5"/>
      <c r="G14" s="150">
        <v>0.599212962962963</v>
      </c>
      <c r="H14" s="5"/>
      <c r="I14" s="150">
        <v>0.7477777777777778</v>
      </c>
      <c r="J14" s="5"/>
      <c r="K14" s="6"/>
    </row>
    <row r="15">
      <c r="A15" s="149">
        <v>8.0</v>
      </c>
      <c r="B15" s="200" t="s">
        <v>200</v>
      </c>
      <c r="C15" s="150">
        <v>0.327037037037037</v>
      </c>
      <c r="D15" s="5"/>
      <c r="E15" s="181" t="s">
        <v>103</v>
      </c>
      <c r="F15" s="5"/>
      <c r="G15" s="181" t="s">
        <v>103</v>
      </c>
      <c r="H15" s="5"/>
      <c r="I15" s="151">
        <v>0.50625</v>
      </c>
      <c r="J15" s="5"/>
      <c r="K15" s="6"/>
    </row>
    <row r="16">
      <c r="A16" s="149">
        <v>9.0</v>
      </c>
      <c r="B16" s="200" t="s">
        <v>29</v>
      </c>
      <c r="C16" s="181" t="s">
        <v>103</v>
      </c>
      <c r="D16" s="5"/>
      <c r="E16" s="181" t="s">
        <v>103</v>
      </c>
      <c r="F16" s="5"/>
      <c r="G16" s="181" t="s">
        <v>103</v>
      </c>
      <c r="H16" s="5"/>
      <c r="I16" s="181" t="s">
        <v>103</v>
      </c>
      <c r="J16" s="5"/>
      <c r="K16" s="6"/>
    </row>
    <row r="17">
      <c r="A17" s="149">
        <v>10.0</v>
      </c>
      <c r="B17" s="200" t="s">
        <v>202</v>
      </c>
      <c r="C17" s="150">
        <v>0.34891203703703705</v>
      </c>
      <c r="D17" s="5"/>
      <c r="E17" s="150">
        <v>0.562511574074074</v>
      </c>
      <c r="F17" s="5"/>
      <c r="G17" s="150">
        <v>0.6094907407407407</v>
      </c>
      <c r="H17" s="5"/>
      <c r="I17" s="150">
        <v>0.7472453703703704</v>
      </c>
      <c r="J17" s="5"/>
      <c r="K17" s="6"/>
    </row>
    <row r="18">
      <c r="A18" s="149">
        <v>11.0</v>
      </c>
      <c r="B18" s="200" t="s">
        <v>58</v>
      </c>
      <c r="C18" s="150">
        <v>0.3497337962962963</v>
      </c>
      <c r="D18" s="5"/>
      <c r="E18" s="150">
        <v>0.5583449074074074</v>
      </c>
      <c r="F18" s="5"/>
      <c r="G18" s="150">
        <v>0.604525462962963</v>
      </c>
      <c r="H18" s="5"/>
      <c r="I18" s="150">
        <v>0.7472106481481482</v>
      </c>
      <c r="J18" s="5"/>
      <c r="K18" s="6"/>
    </row>
    <row r="19">
      <c r="A19" s="149">
        <v>12.0</v>
      </c>
      <c r="B19" s="200" t="s">
        <v>284</v>
      </c>
      <c r="C19" s="150">
        <v>0.3489814814814815</v>
      </c>
      <c r="D19" s="5"/>
      <c r="E19" s="150">
        <v>0.5514930555555555</v>
      </c>
      <c r="F19" s="5"/>
      <c r="G19" s="150">
        <v>0.5976967592592592</v>
      </c>
      <c r="H19" s="5"/>
      <c r="I19" s="150">
        <v>0.7513773148148148</v>
      </c>
      <c r="J19" s="5"/>
      <c r="K19" s="6"/>
      <c r="L19" s="229"/>
    </row>
    <row r="20">
      <c r="A20" s="149">
        <v>13.0</v>
      </c>
      <c r="B20" s="200" t="s">
        <v>19</v>
      </c>
      <c r="C20" s="150">
        <v>0.3509837962962963</v>
      </c>
      <c r="D20" s="5"/>
      <c r="E20" s="150">
        <v>0.5587268518518519</v>
      </c>
      <c r="F20" s="5"/>
      <c r="G20" s="150">
        <v>0.6043287037037037</v>
      </c>
      <c r="H20" s="5"/>
      <c r="I20" s="150">
        <v>0.7577777777777778</v>
      </c>
      <c r="J20" s="5"/>
      <c r="K20" s="6"/>
    </row>
    <row r="21">
      <c r="A21" s="149">
        <v>14.0</v>
      </c>
      <c r="B21" s="200" t="s">
        <v>201</v>
      </c>
      <c r="C21" s="150">
        <v>0.3494212962962963</v>
      </c>
      <c r="D21" s="5"/>
      <c r="E21" s="150">
        <v>0.5510879629629629</v>
      </c>
      <c r="F21" s="5"/>
      <c r="G21" s="150">
        <v>0.5979166666666667</v>
      </c>
      <c r="H21" s="5"/>
      <c r="I21" s="150">
        <v>0.7489467592592592</v>
      </c>
      <c r="J21" s="5"/>
      <c r="K21" s="6"/>
    </row>
    <row r="22">
      <c r="A22" s="149">
        <v>15.0</v>
      </c>
      <c r="B22" s="200" t="s">
        <v>200</v>
      </c>
      <c r="C22" s="150">
        <v>0.3292013888888889</v>
      </c>
      <c r="D22" s="5"/>
      <c r="E22" s="181" t="s">
        <v>103</v>
      </c>
      <c r="F22" s="5"/>
      <c r="G22" s="181" t="s">
        <v>103</v>
      </c>
      <c r="H22" s="5"/>
      <c r="I22" s="150">
        <v>0.5038425925925926</v>
      </c>
      <c r="J22" s="5"/>
      <c r="K22" s="6"/>
    </row>
    <row r="23">
      <c r="A23" s="149">
        <v>16.0</v>
      </c>
      <c r="B23" s="200" t="s">
        <v>29</v>
      </c>
      <c r="C23" s="181" t="s">
        <v>103</v>
      </c>
      <c r="D23" s="5"/>
      <c r="E23" s="181" t="s">
        <v>103</v>
      </c>
      <c r="F23" s="5"/>
      <c r="G23" s="181" t="s">
        <v>103</v>
      </c>
      <c r="H23" s="5"/>
      <c r="I23" s="181" t="s">
        <v>103</v>
      </c>
      <c r="J23" s="5"/>
      <c r="K23" s="6"/>
    </row>
    <row r="24">
      <c r="A24" s="149">
        <v>17.0</v>
      </c>
      <c r="B24" s="200" t="s">
        <v>202</v>
      </c>
      <c r="C24" s="150">
        <v>0.3490972222222222</v>
      </c>
      <c r="D24" s="5"/>
      <c r="E24" s="150">
        <v>0.5570949074074074</v>
      </c>
      <c r="F24" s="5"/>
      <c r="G24" s="150">
        <v>0.6029398148148148</v>
      </c>
      <c r="H24" s="5"/>
      <c r="I24" s="150">
        <v>0.7503935185185185</v>
      </c>
      <c r="J24" s="5"/>
      <c r="K24" s="6"/>
    </row>
    <row r="25">
      <c r="A25" s="149">
        <v>18.0</v>
      </c>
      <c r="B25" s="200" t="s">
        <v>58</v>
      </c>
      <c r="C25" s="150">
        <v>0.3484143518518519</v>
      </c>
      <c r="D25" s="5"/>
      <c r="E25" s="150">
        <v>0.5541898148148148</v>
      </c>
      <c r="F25" s="5"/>
      <c r="G25" s="150">
        <v>0.600625</v>
      </c>
      <c r="H25" s="5"/>
      <c r="I25" s="150">
        <v>0.7463078703703704</v>
      </c>
      <c r="J25" s="5"/>
      <c r="K25" s="6"/>
    </row>
    <row r="26">
      <c r="A26" s="149">
        <v>19.0</v>
      </c>
      <c r="B26" s="200" t="s">
        <v>284</v>
      </c>
      <c r="C26" s="150">
        <v>0.34902777777777777</v>
      </c>
      <c r="D26" s="5"/>
      <c r="E26" s="150">
        <v>0.5434027777777778</v>
      </c>
      <c r="F26" s="5"/>
      <c r="G26" s="150">
        <v>0.5895254629629629</v>
      </c>
      <c r="H26" s="5"/>
      <c r="I26" s="150">
        <v>0.7477546296296296</v>
      </c>
      <c r="J26" s="5"/>
      <c r="K26" s="127"/>
    </row>
    <row r="27">
      <c r="A27" s="149">
        <v>20.0</v>
      </c>
      <c r="B27" s="200" t="s">
        <v>19</v>
      </c>
      <c r="C27" s="150">
        <v>0.3509027777777778</v>
      </c>
      <c r="D27" s="5"/>
      <c r="E27" s="150">
        <v>0.5474652777777778</v>
      </c>
      <c r="F27" s="5"/>
      <c r="G27" s="150">
        <v>0.5924421296296296</v>
      </c>
      <c r="H27" s="5"/>
      <c r="I27" s="150">
        <v>0.7522222222222222</v>
      </c>
      <c r="J27" s="5"/>
      <c r="K27" s="6"/>
    </row>
    <row r="28">
      <c r="A28" s="149">
        <v>21.0</v>
      </c>
      <c r="B28" s="200" t="s">
        <v>201</v>
      </c>
      <c r="C28" s="150">
        <v>0.3490740740740741</v>
      </c>
      <c r="D28" s="5"/>
      <c r="E28" s="150">
        <v>0.5628935185185185</v>
      </c>
      <c r="F28" s="5"/>
      <c r="G28" s="150">
        <v>0.6064236111111111</v>
      </c>
      <c r="H28" s="5"/>
      <c r="I28" s="150">
        <v>0.7472222222222222</v>
      </c>
      <c r="J28" s="5"/>
      <c r="K28" s="6"/>
    </row>
    <row r="29">
      <c r="A29" s="149">
        <v>22.0</v>
      </c>
      <c r="B29" s="200" t="s">
        <v>200</v>
      </c>
      <c r="C29" s="150">
        <v>0.32916666666666666</v>
      </c>
      <c r="D29" s="5"/>
      <c r="E29" s="181" t="s">
        <v>103</v>
      </c>
      <c r="F29" s="5"/>
      <c r="G29" s="181" t="s">
        <v>103</v>
      </c>
      <c r="H29" s="5"/>
      <c r="I29" s="150">
        <v>0.4992361111111111</v>
      </c>
      <c r="J29" s="5"/>
      <c r="K29" s="6"/>
    </row>
    <row r="30">
      <c r="A30" s="149">
        <v>23.0</v>
      </c>
      <c r="B30" s="200" t="s">
        <v>29</v>
      </c>
      <c r="C30" s="181" t="s">
        <v>103</v>
      </c>
      <c r="D30" s="5"/>
      <c r="E30" s="181" t="s">
        <v>103</v>
      </c>
      <c r="F30" s="5"/>
      <c r="G30" s="181" t="s">
        <v>103</v>
      </c>
      <c r="H30" s="5"/>
      <c r="I30" s="181" t="s">
        <v>103</v>
      </c>
      <c r="J30" s="5"/>
      <c r="K30" s="6"/>
    </row>
    <row r="31">
      <c r="A31" s="149">
        <v>24.0</v>
      </c>
      <c r="B31" s="200" t="s">
        <v>202</v>
      </c>
      <c r="C31" s="150">
        <v>0.34930555555555554</v>
      </c>
      <c r="D31" s="5"/>
      <c r="E31" s="150">
        <v>0.55</v>
      </c>
      <c r="F31" s="5"/>
      <c r="G31" s="150">
        <v>0.5951388888888889</v>
      </c>
      <c r="H31" s="5"/>
      <c r="I31" s="150">
        <v>0.7479166666666667</v>
      </c>
      <c r="J31" s="5"/>
      <c r="K31" s="6"/>
    </row>
    <row r="32">
      <c r="A32" s="149">
        <v>25.0</v>
      </c>
      <c r="B32" s="200" t="s">
        <v>58</v>
      </c>
      <c r="C32" s="150">
        <v>0.35</v>
      </c>
      <c r="D32" s="5"/>
      <c r="E32" s="150">
        <v>0.5625</v>
      </c>
      <c r="F32" s="5"/>
      <c r="G32" s="147" t="s">
        <v>103</v>
      </c>
      <c r="H32" s="5"/>
      <c r="I32" s="150">
        <v>0.7465277777777778</v>
      </c>
      <c r="J32" s="5"/>
      <c r="K32" s="6"/>
    </row>
    <row r="33">
      <c r="A33" s="149">
        <v>26.0</v>
      </c>
      <c r="B33" s="200" t="s">
        <v>284</v>
      </c>
      <c r="C33" s="150">
        <v>0.34930555555555554</v>
      </c>
      <c r="D33" s="5"/>
      <c r="E33" s="150">
        <v>0.5506944444444445</v>
      </c>
      <c r="F33" s="5"/>
      <c r="G33" s="150">
        <v>0.5979166666666667</v>
      </c>
      <c r="H33" s="5"/>
      <c r="I33" s="150">
        <v>0.74375</v>
      </c>
      <c r="J33" s="5"/>
      <c r="K33" s="6"/>
    </row>
    <row r="34">
      <c r="A34" s="149">
        <v>27.0</v>
      </c>
      <c r="B34" s="200" t="s">
        <v>19</v>
      </c>
      <c r="C34" s="150">
        <v>0.35138888888888886</v>
      </c>
      <c r="D34" s="5"/>
      <c r="E34" s="150">
        <v>0.5527777777777778</v>
      </c>
      <c r="F34" s="5"/>
      <c r="G34" s="150">
        <v>0.5979166666666667</v>
      </c>
      <c r="H34" s="5"/>
      <c r="I34" s="150">
        <v>0.7472222222222222</v>
      </c>
      <c r="J34" s="5"/>
      <c r="K34" s="6"/>
      <c r="N34" s="45"/>
      <c r="O34" s="44"/>
      <c r="P34" s="45"/>
      <c r="Q34" s="44"/>
      <c r="R34" s="44"/>
      <c r="S34" s="45"/>
      <c r="T34" s="45"/>
      <c r="U34" s="44"/>
      <c r="V34" s="13"/>
    </row>
    <row r="35">
      <c r="A35" s="149">
        <v>28.0</v>
      </c>
      <c r="B35" s="200" t="s">
        <v>201</v>
      </c>
      <c r="C35" s="147" t="s">
        <v>107</v>
      </c>
      <c r="D35" s="15"/>
      <c r="E35" s="15"/>
      <c r="F35" s="15"/>
      <c r="G35" s="15"/>
      <c r="H35" s="15"/>
      <c r="I35" s="15"/>
      <c r="J35" s="5"/>
      <c r="M35" s="124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63">
        <v>29.0</v>
      </c>
      <c r="B36" s="163" t="s">
        <v>200</v>
      </c>
      <c r="C36" s="181" t="s">
        <v>103</v>
      </c>
      <c r="D36" s="5"/>
      <c r="E36" s="181" t="s">
        <v>103</v>
      </c>
      <c r="F36" s="5"/>
      <c r="G36" s="181" t="s">
        <v>103</v>
      </c>
      <c r="H36" s="5"/>
      <c r="I36" s="181" t="s">
        <v>103</v>
      </c>
      <c r="J36" s="5"/>
      <c r="K36" s="6"/>
    </row>
    <row r="37">
      <c r="A37" s="163">
        <v>30.0</v>
      </c>
      <c r="B37" s="163" t="s">
        <v>29</v>
      </c>
      <c r="C37" s="181" t="s">
        <v>103</v>
      </c>
      <c r="D37" s="5"/>
      <c r="E37" s="181" t="s">
        <v>103</v>
      </c>
      <c r="F37" s="5"/>
      <c r="G37" s="181" t="s">
        <v>103</v>
      </c>
      <c r="H37" s="5"/>
      <c r="I37" s="181" t="s">
        <v>103</v>
      </c>
      <c r="J37" s="5"/>
      <c r="K37" s="6"/>
    </row>
    <row r="38">
      <c r="A38" s="163">
        <v>31.0</v>
      </c>
      <c r="B38" s="163" t="s">
        <v>24</v>
      </c>
      <c r="C38" s="150">
        <v>0.4583333333333333</v>
      </c>
      <c r="D38" s="5"/>
      <c r="E38" s="150">
        <v>0.5479166666666667</v>
      </c>
      <c r="F38" s="5"/>
      <c r="G38" s="150">
        <v>0.5951388888888889</v>
      </c>
      <c r="H38" s="5"/>
      <c r="I38" s="150">
        <v>0.7451388888888889</v>
      </c>
      <c r="J38" s="5"/>
      <c r="M38" s="124"/>
    </row>
    <row r="39">
      <c r="A39" s="103" t="s">
        <v>31</v>
      </c>
      <c r="B39" s="15"/>
      <c r="C39" s="15"/>
      <c r="D39" s="15"/>
      <c r="E39" s="15"/>
      <c r="F39" s="15"/>
      <c r="G39" s="15"/>
      <c r="H39" s="15"/>
      <c r="I39" s="15"/>
      <c r="J39" s="5"/>
      <c r="K39" s="6"/>
    </row>
    <row r="40">
      <c r="A40" s="107" t="s">
        <v>320</v>
      </c>
      <c r="B40" s="15"/>
      <c r="C40" s="15"/>
      <c r="D40" s="15"/>
      <c r="E40" s="15"/>
      <c r="F40" s="15"/>
      <c r="G40" s="15"/>
      <c r="H40" s="15"/>
      <c r="I40" s="15"/>
      <c r="J40" s="5"/>
      <c r="K40" s="6"/>
    </row>
    <row r="41">
      <c r="A41" s="107" t="s">
        <v>318</v>
      </c>
      <c r="B41" s="15"/>
      <c r="C41" s="15"/>
      <c r="D41" s="15"/>
      <c r="E41" s="15"/>
      <c r="F41" s="15"/>
      <c r="G41" s="15"/>
      <c r="H41" s="15"/>
      <c r="I41" s="15"/>
      <c r="J41" s="5"/>
      <c r="K41" s="6"/>
    </row>
    <row r="42">
      <c r="A42" s="132" t="s">
        <v>321</v>
      </c>
      <c r="B42" s="3"/>
      <c r="C42" s="3"/>
      <c r="D42" s="3"/>
      <c r="E42" s="3"/>
      <c r="F42" s="3"/>
      <c r="G42" s="3"/>
      <c r="H42" s="3"/>
      <c r="I42" s="3"/>
      <c r="J42" s="2"/>
      <c r="K42" s="6"/>
    </row>
    <row r="43">
      <c r="A43" s="133" t="s">
        <v>35</v>
      </c>
      <c r="B43" s="134"/>
      <c r="C43" s="134"/>
      <c r="D43" s="134"/>
      <c r="E43" s="134"/>
      <c r="F43" s="134"/>
      <c r="G43" s="3"/>
      <c r="H43" s="134"/>
      <c r="I43" s="134"/>
      <c r="J43" s="135"/>
      <c r="K43" s="6"/>
    </row>
    <row r="44">
      <c r="A44" s="136"/>
      <c r="B44" s="137"/>
      <c r="C44" s="137"/>
      <c r="D44" s="137"/>
      <c r="F44" s="137"/>
      <c r="H44" s="137"/>
      <c r="I44" s="137"/>
      <c r="J44" s="138"/>
      <c r="K44" s="6"/>
    </row>
    <row r="45">
      <c r="A45" s="139" t="s">
        <v>36</v>
      </c>
      <c r="B45" s="137"/>
      <c r="C45" s="140" t="s">
        <v>37</v>
      </c>
      <c r="D45" s="137"/>
      <c r="F45" s="137"/>
      <c r="H45" s="137"/>
      <c r="I45" s="137"/>
      <c r="J45" s="138"/>
      <c r="K45" s="6"/>
    </row>
    <row r="46">
      <c r="A46" s="58"/>
      <c r="B46" s="59"/>
      <c r="C46" s="59"/>
      <c r="D46" s="59"/>
      <c r="E46" s="11"/>
      <c r="F46" s="59"/>
      <c r="G46" s="11"/>
      <c r="H46" s="59"/>
      <c r="I46" s="59"/>
      <c r="J46" s="60"/>
      <c r="K46" s="6"/>
    </row>
  </sheetData>
  <mergeCells count="146">
    <mergeCell ref="C12:D12"/>
    <mergeCell ref="E12:F12"/>
    <mergeCell ref="G12:H12"/>
    <mergeCell ref="I12:J12"/>
    <mergeCell ref="E13:F13"/>
    <mergeCell ref="G13:H13"/>
    <mergeCell ref="I13:J13"/>
    <mergeCell ref="C13:D13"/>
    <mergeCell ref="C14:D14"/>
    <mergeCell ref="E14:F14"/>
    <mergeCell ref="G14:H14"/>
    <mergeCell ref="I14:J14"/>
    <mergeCell ref="C15:D15"/>
    <mergeCell ref="E15:F15"/>
    <mergeCell ref="A1:B3"/>
    <mergeCell ref="C1:H3"/>
    <mergeCell ref="I1:J1"/>
    <mergeCell ref="I2:J2"/>
    <mergeCell ref="I3:J3"/>
    <mergeCell ref="B4:F4"/>
    <mergeCell ref="G4:H4"/>
    <mergeCell ref="B5:E5"/>
    <mergeCell ref="B6:E6"/>
    <mergeCell ref="F6:J6"/>
    <mergeCell ref="A7:B7"/>
    <mergeCell ref="C7:D7"/>
    <mergeCell ref="F7:G7"/>
    <mergeCell ref="I7:J7"/>
    <mergeCell ref="C8:D8"/>
    <mergeCell ref="E8:F8"/>
    <mergeCell ref="G8:H8"/>
    <mergeCell ref="I8:J8"/>
    <mergeCell ref="E9:F9"/>
    <mergeCell ref="G9:H9"/>
    <mergeCell ref="I9:J9"/>
    <mergeCell ref="G11:H11"/>
    <mergeCell ref="I11:J11"/>
    <mergeCell ref="C9:D9"/>
    <mergeCell ref="C10:D10"/>
    <mergeCell ref="E10:F10"/>
    <mergeCell ref="G10:H10"/>
    <mergeCell ref="I10:J10"/>
    <mergeCell ref="C11:D11"/>
    <mergeCell ref="E11:F11"/>
    <mergeCell ref="G15:H15"/>
    <mergeCell ref="I15:J15"/>
    <mergeCell ref="G19:H19"/>
    <mergeCell ref="I19:J19"/>
    <mergeCell ref="C24:D24"/>
    <mergeCell ref="E24:F24"/>
    <mergeCell ref="G24:H24"/>
    <mergeCell ref="I24:J24"/>
    <mergeCell ref="E25:F25"/>
    <mergeCell ref="G25:H25"/>
    <mergeCell ref="I25:J25"/>
    <mergeCell ref="C25:D25"/>
    <mergeCell ref="C26:D26"/>
    <mergeCell ref="E26:F26"/>
    <mergeCell ref="G26:H26"/>
    <mergeCell ref="I26:J26"/>
    <mergeCell ref="C27:D27"/>
    <mergeCell ref="E27:F27"/>
    <mergeCell ref="C28:D28"/>
    <mergeCell ref="E28:F28"/>
    <mergeCell ref="G28:H28"/>
    <mergeCell ref="I28:J28"/>
    <mergeCell ref="E29:F29"/>
    <mergeCell ref="G29:H29"/>
    <mergeCell ref="I29:J29"/>
    <mergeCell ref="C29:D29"/>
    <mergeCell ref="C30:D30"/>
    <mergeCell ref="E30:F30"/>
    <mergeCell ref="G30:H30"/>
    <mergeCell ref="I30:J30"/>
    <mergeCell ref="C31:D31"/>
    <mergeCell ref="E31:F31"/>
    <mergeCell ref="E33:F33"/>
    <mergeCell ref="G33:H33"/>
    <mergeCell ref="G31:H31"/>
    <mergeCell ref="I31:J31"/>
    <mergeCell ref="C32:D32"/>
    <mergeCell ref="E32:F32"/>
    <mergeCell ref="G32:H32"/>
    <mergeCell ref="I32:J32"/>
    <mergeCell ref="I33:J33"/>
    <mergeCell ref="C33:D33"/>
    <mergeCell ref="C34:D34"/>
    <mergeCell ref="E34:F34"/>
    <mergeCell ref="G34:H34"/>
    <mergeCell ref="I34:J34"/>
    <mergeCell ref="C35:J35"/>
    <mergeCell ref="I36:J36"/>
    <mergeCell ref="D44:E44"/>
    <mergeCell ref="F44:G44"/>
    <mergeCell ref="D45:E45"/>
    <mergeCell ref="F45:G45"/>
    <mergeCell ref="D46:E46"/>
    <mergeCell ref="F46:G46"/>
    <mergeCell ref="E36:F36"/>
    <mergeCell ref="G36:H36"/>
    <mergeCell ref="A39:J39"/>
    <mergeCell ref="A40:J40"/>
    <mergeCell ref="A41:J41"/>
    <mergeCell ref="A42:J42"/>
    <mergeCell ref="F43:G43"/>
    <mergeCell ref="C16:D16"/>
    <mergeCell ref="E16:F16"/>
    <mergeCell ref="G16:H16"/>
    <mergeCell ref="I16:J16"/>
    <mergeCell ref="E17:F17"/>
    <mergeCell ref="G17:H17"/>
    <mergeCell ref="I17:J17"/>
    <mergeCell ref="C17:D17"/>
    <mergeCell ref="C18:D18"/>
    <mergeCell ref="E18:F18"/>
    <mergeCell ref="G18:H18"/>
    <mergeCell ref="I18:J18"/>
    <mergeCell ref="C19:D19"/>
    <mergeCell ref="E19:F19"/>
    <mergeCell ref="C20:D20"/>
    <mergeCell ref="E20:F20"/>
    <mergeCell ref="G20:H20"/>
    <mergeCell ref="I20:J20"/>
    <mergeCell ref="E21:F21"/>
    <mergeCell ref="G21:H21"/>
    <mergeCell ref="I21:J21"/>
    <mergeCell ref="G23:H23"/>
    <mergeCell ref="I23:J23"/>
    <mergeCell ref="C21:D21"/>
    <mergeCell ref="C22:D22"/>
    <mergeCell ref="E22:F22"/>
    <mergeCell ref="G22:H22"/>
    <mergeCell ref="I22:J22"/>
    <mergeCell ref="C23:D23"/>
    <mergeCell ref="E23:F23"/>
    <mergeCell ref="G27:H27"/>
    <mergeCell ref="I27:J27"/>
    <mergeCell ref="G38:H38"/>
    <mergeCell ref="I38:J38"/>
    <mergeCell ref="C36:D36"/>
    <mergeCell ref="C37:D37"/>
    <mergeCell ref="E37:F37"/>
    <mergeCell ref="G37:H37"/>
    <mergeCell ref="I37:J37"/>
    <mergeCell ref="C38:D38"/>
    <mergeCell ref="E38:F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